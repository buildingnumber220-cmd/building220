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partments" sheetId="1" state="visible" r:id="rId1"/>
    <sheet xmlns:r="http://schemas.openxmlformats.org/officeDocument/2006/relationships" name="Items" sheetId="2" state="visible" r:id="rId2"/>
    <sheet xmlns:r="http://schemas.openxmlformats.org/officeDocument/2006/relationships" name="Payments" sheetId="3" state="visible" r:id="rId3"/>
    <sheet xmlns:r="http://schemas.openxmlformats.org/officeDocument/2006/relationships" name="Expenses" sheetId="4" state="visible" r:id="rId4"/>
    <sheet xmlns:r="http://schemas.openxmlformats.org/officeDocument/2006/relationships" name="Summary" sheetId="5" state="visible" r:id="rId5"/>
    <sheet xmlns:r="http://schemas.openxmlformats.org/officeDocument/2006/relationships" name="Settings" sheetId="6" state="visible" r:id="rId6"/>
    <sheet xmlns:r="http://schemas.openxmlformats.org/officeDocument/2006/relationships" name="Claims" sheetId="7" state="visible" r:id="rId7"/>
    <sheet xmlns:r="http://schemas.openxmlformats.org/officeDocument/2006/relationships" name="Tasks" sheetId="8" state="visible" r:id="rId8"/>
    <sheet xmlns:r="http://schemas.openxmlformats.org/officeDocument/2006/relationships" name="AccessLog" sheetId="9" state="visible" r:id="rId9"/>
    <sheet xmlns:r="http://schemas.openxmlformats.org/officeDocument/2006/relationships" name="Guide"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yyyy\-mm\-dd"/>
    <numFmt numFmtId="165" formatCode="yyyy-mm-dd"/>
    <numFmt numFmtId="166" formatCode="yyyy-mm-dd hh:mm"/>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color rgb="FF0000FF"/>
      <sz val="11"/>
    </font>
    <font>
      <name val="FreeSans"/>
      <family val="2"/>
      <sz val="10"/>
    </font>
    <font>
      <name val="Arial"/>
      <family val="2"/>
      <sz val="10"/>
    </font>
    <font>
      <name val="Arial"/>
      <charset val="1"/>
      <family val="0"/>
      <sz val="11"/>
    </font>
    <font>
      <name val="Arial"/>
      <charset val="1"/>
      <family val="0"/>
      <b val="1"/>
      <sz val="11"/>
    </font>
    <font>
      <name val="Arial"/>
      <charset val="1"/>
      <family val="0"/>
      <color rgb="FF666666"/>
      <sz val="10"/>
    </font>
  </fonts>
  <fills count="4">
    <fill>
      <patternFill/>
    </fill>
    <fill>
      <patternFill patternType="gray125"/>
    </fill>
    <fill>
      <patternFill patternType="solid">
        <fgColor rgb="FF2456D6"/>
        <bgColor rgb="FF0066CC"/>
      </patternFill>
    </fill>
    <fill>
      <patternFill patternType="solid">
        <fgColor rgb="FFFFFF00"/>
        <bgColor rgb="FFFFFF0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4" fillId="2" borderId="0" applyAlignment="1" pivotButton="0" quotePrefix="0" xfId="0">
      <alignment horizontal="center" vertical="bottom"/>
    </xf>
    <xf numFmtId="0" fontId="5" fillId="0" borderId="0" applyAlignment="1" pivotButton="0" quotePrefix="0" xfId="0">
      <alignment horizontal="general" vertical="bottom"/>
    </xf>
    <xf numFmtId="49" fontId="5" fillId="0" borderId="0" applyAlignment="1" pivotButton="0" quotePrefix="0" xfId="0">
      <alignment horizontal="general" vertical="bottom"/>
    </xf>
    <xf numFmtId="164" fontId="5"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5" fillId="3" borderId="0" applyAlignment="1" pivotButton="0" quotePrefix="0" xfId="0">
      <alignment horizontal="general" vertical="bottom"/>
    </xf>
    <xf numFmtId="49" fontId="5" fillId="3" borderId="0" applyAlignment="1" pivotButton="0" quotePrefix="0" xfId="0">
      <alignment horizontal="general" vertical="top" wrapText="1"/>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bottom"/>
    </xf>
    <xf numFmtId="0" fontId="5" fillId="0" borderId="0" applyAlignment="1" pivotButton="0" quotePrefix="0" xfId="0">
      <alignment horizontal="general" vertical="bottom"/>
    </xf>
    <xf numFmtId="49" fontId="5" fillId="0" borderId="0" applyAlignment="1" pivotButton="0" quotePrefix="0" xfId="0">
      <alignment horizontal="general" vertical="bottom"/>
    </xf>
    <xf numFmtId="164" fontId="5"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5" fillId="3" borderId="0" applyAlignment="1" pivotButton="0" quotePrefix="0" xfId="0">
      <alignment horizontal="general" vertical="bottom"/>
    </xf>
    <xf numFmtId="49" fontId="5" fillId="3" borderId="0" applyAlignment="1" pivotButton="0" quotePrefix="0" xfId="0">
      <alignment horizontal="general" vertical="top" wrapText="1"/>
    </xf>
    <xf numFmtId="0" fontId="10" fillId="0" borderId="0" applyAlignment="1" pivotButton="0" quotePrefix="0" xfId="0">
      <alignment horizontal="general" vertical="bottom"/>
    </xf>
    <xf numFmtId="165" fontId="0" fillId="0" borderId="0" pivotButton="0" quotePrefix="0" xfId="0"/>
    <xf numFmtId="166"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ont>
        <color rgb="FFB42318"/>
      </font>
      <fill>
        <patternFill>
          <bgColor rgb="FFFDE2E2"/>
        </patternFill>
      </fill>
    </dxf>
    <dxf>
      <font>
        <color rgb="FF067647"/>
      </font>
      <fill>
        <patternFill>
          <bgColor rgb="FFE2F5E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67647"/>
      <rgbColor rgb="FFC0C0C0"/>
      <rgbColor rgb="FF808080"/>
      <rgbColor rgb="FF9999FF"/>
      <rgbColor rgb="FF993366"/>
      <rgbColor rgb="FFFDE2E2"/>
      <rgbColor rgb="FFE2F5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456D6"/>
      <rgbColor rgb="FF33CCCC"/>
      <rgbColor rgb="FF99CC00"/>
      <rgbColor rgb="FFFFCC00"/>
      <rgbColor rgb="FFFF9900"/>
      <rgbColor rgb="FFFF6600"/>
      <rgbColor rgb="FF666666"/>
      <rgbColor rgb="FF969696"/>
      <rgbColor rgb="FF003366"/>
      <rgbColor rgb="FF339966"/>
      <rgbColor rgb="FF003300"/>
      <rgbColor rgb="FF333300"/>
      <rgbColor rgb="FFB42318"/>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Unknown Author</author>
  </authors>
  <commentList>
    <comment ref="A2" authorId="0" shapeId="0">
      <text>
        <t>صف مثال: استبدله ببيانات الشقق الحقيقية. الجدول يدعم حتى 30 شقة.</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D31"/>
  <sheetViews>
    <sheetView showFormulas="0" showGridLines="1" showRowColHeaders="1" showZeros="1" rightToLeft="1"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1" min="1" max="1"/>
    <col width="22" customWidth="1" style="11" min="2" max="2"/>
    <col width="30" customWidth="1" style="11" min="3" max="3"/>
    <col width="14" customWidth="1" style="11" min="4" max="4"/>
  </cols>
  <sheetData>
    <row r="1" ht="15" customHeight="1" s="12">
      <c r="A1" s="13" t="inlineStr">
        <is>
          <t>رقم الشقة</t>
        </is>
      </c>
      <c r="B1" s="13" t="inlineStr">
        <is>
          <t>الاسم</t>
        </is>
      </c>
      <c r="C1" s="13" t="inlineStr">
        <is>
          <t>الموبايل (بصيغة 201012345678)</t>
        </is>
      </c>
      <c r="D1" s="13" t="inlineStr">
        <is>
          <t>الرقم السري</t>
        </is>
      </c>
    </row>
    <row r="2" ht="15" customHeight="1" s="12">
      <c r="A2" s="14" t="n">
        <v>1</v>
      </c>
      <c r="B2" s="14" t="inlineStr">
        <is>
          <t>مثال: أحمد</t>
        </is>
      </c>
      <c r="C2" s="15" t="inlineStr">
        <is>
          <t>201012345678</t>
        </is>
      </c>
      <c r="D2" s="15" t="inlineStr">
        <is>
          <t>4829</t>
        </is>
      </c>
    </row>
    <row r="3" ht="15" customHeight="1" s="12">
      <c r="A3" s="14" t="n"/>
      <c r="B3" s="14" t="n"/>
      <c r="C3" s="15" t="n"/>
      <c r="D3" s="15" t="n"/>
    </row>
    <row r="4" ht="15" customHeight="1" s="12">
      <c r="A4" s="14" t="n"/>
      <c r="B4" s="14" t="n"/>
      <c r="C4" s="15" t="n"/>
      <c r="D4" s="15" t="n"/>
    </row>
    <row r="5" ht="15" customHeight="1" s="12">
      <c r="A5" s="14" t="n"/>
      <c r="B5" s="14" t="n"/>
      <c r="C5" s="15" t="n"/>
      <c r="D5" s="15" t="n"/>
    </row>
    <row r="6" ht="15" customHeight="1" s="12">
      <c r="A6" s="14" t="n"/>
      <c r="B6" s="14" t="n"/>
      <c r="C6" s="15" t="n"/>
      <c r="D6" s="15" t="n"/>
    </row>
    <row r="7" ht="15" customHeight="1" s="12">
      <c r="A7" s="14" t="n"/>
      <c r="B7" s="14" t="n"/>
      <c r="C7" s="15" t="n"/>
      <c r="D7" s="15" t="n"/>
    </row>
    <row r="8" ht="15" customHeight="1" s="12">
      <c r="A8" s="14" t="n"/>
      <c r="B8" s="14" t="n"/>
      <c r="C8" s="15" t="n"/>
      <c r="D8" s="15" t="n"/>
    </row>
    <row r="9" ht="15" customHeight="1" s="12">
      <c r="A9" s="14" t="n"/>
      <c r="B9" s="14" t="n"/>
      <c r="C9" s="15" t="n"/>
      <c r="D9" s="15" t="n"/>
    </row>
    <row r="10" ht="15" customHeight="1" s="12">
      <c r="A10" s="14" t="n"/>
      <c r="B10" s="14" t="n"/>
      <c r="C10" s="15" t="n"/>
      <c r="D10" s="15" t="n"/>
    </row>
    <row r="11" ht="15" customHeight="1" s="12">
      <c r="A11" s="14" t="n"/>
      <c r="B11" s="14" t="n"/>
      <c r="C11" s="15" t="n"/>
      <c r="D11" s="15" t="n"/>
    </row>
    <row r="12" ht="15" customHeight="1" s="12">
      <c r="A12" s="14" t="n"/>
      <c r="B12" s="14" t="n"/>
      <c r="C12" s="15" t="n"/>
      <c r="D12" s="15" t="n"/>
    </row>
    <row r="13" ht="15" customHeight="1" s="12">
      <c r="A13" s="14" t="n"/>
      <c r="B13" s="14" t="n"/>
      <c r="C13" s="15" t="n"/>
      <c r="D13" s="15" t="n"/>
    </row>
    <row r="14" ht="15" customHeight="1" s="12">
      <c r="A14" s="14" t="n"/>
      <c r="B14" s="14" t="n"/>
      <c r="C14" s="15" t="n"/>
      <c r="D14" s="15" t="n"/>
    </row>
    <row r="15" ht="15" customHeight="1" s="12">
      <c r="A15" s="14" t="n"/>
      <c r="B15" s="14" t="n"/>
      <c r="C15" s="15" t="n"/>
      <c r="D15" s="15" t="n"/>
    </row>
    <row r="16" ht="15" customHeight="1" s="12">
      <c r="A16" s="14" t="n"/>
      <c r="B16" s="14" t="n"/>
      <c r="C16" s="15" t="n"/>
      <c r="D16" s="15" t="n"/>
    </row>
    <row r="17" ht="15" customHeight="1" s="12">
      <c r="A17" s="14" t="n"/>
      <c r="B17" s="14" t="n"/>
      <c r="C17" s="15" t="n"/>
      <c r="D17" s="15" t="n"/>
    </row>
    <row r="18" ht="15" customHeight="1" s="12">
      <c r="A18" s="14" t="n"/>
      <c r="B18" s="14" t="n"/>
      <c r="C18" s="15" t="n"/>
      <c r="D18" s="15" t="n"/>
    </row>
    <row r="19" ht="15" customHeight="1" s="12">
      <c r="A19" s="14" t="n"/>
      <c r="B19" s="14" t="n"/>
      <c r="C19" s="15" t="n"/>
      <c r="D19" s="15" t="n"/>
    </row>
    <row r="20" ht="15" customHeight="1" s="12">
      <c r="A20" s="14" t="n"/>
      <c r="B20" s="14" t="n"/>
      <c r="C20" s="15" t="n"/>
      <c r="D20" s="15" t="n"/>
    </row>
    <row r="21" ht="15" customHeight="1" s="12">
      <c r="A21" s="14" t="n"/>
      <c r="B21" s="14" t="n"/>
      <c r="C21" s="15" t="n"/>
      <c r="D21" s="15" t="n"/>
    </row>
    <row r="22" ht="15" customHeight="1" s="12">
      <c r="A22" s="14" t="n"/>
      <c r="B22" s="14" t="n"/>
      <c r="C22" s="15" t="n"/>
      <c r="D22" s="15" t="n"/>
    </row>
    <row r="23" ht="15" customHeight="1" s="12">
      <c r="A23" s="14" t="n"/>
      <c r="B23" s="14" t="n"/>
      <c r="C23" s="15" t="n"/>
      <c r="D23" s="15" t="n"/>
    </row>
    <row r="24" ht="15" customHeight="1" s="12">
      <c r="A24" s="14" t="n"/>
      <c r="B24" s="14" t="n"/>
      <c r="C24" s="15" t="n"/>
      <c r="D24" s="15" t="n"/>
    </row>
    <row r="25" ht="15" customHeight="1" s="12">
      <c r="A25" s="14" t="n"/>
      <c r="B25" s="14" t="n"/>
      <c r="C25" s="15" t="n"/>
      <c r="D25" s="15" t="n"/>
    </row>
    <row r="26" ht="15" customHeight="1" s="12">
      <c r="A26" s="14" t="n"/>
      <c r="B26" s="14" t="n"/>
      <c r="C26" s="15" t="n"/>
      <c r="D26" s="15" t="n"/>
    </row>
    <row r="27" ht="15" customHeight="1" s="12">
      <c r="A27" s="14" t="n"/>
      <c r="B27" s="14" t="n"/>
      <c r="C27" s="15" t="n"/>
      <c r="D27" s="15" t="n"/>
    </row>
    <row r="28" ht="15" customHeight="1" s="12">
      <c r="A28" s="14" t="n"/>
      <c r="B28" s="14" t="n"/>
      <c r="C28" s="15" t="n"/>
      <c r="D28" s="15" t="n"/>
    </row>
    <row r="29" ht="15" customHeight="1" s="12">
      <c r="A29" s="14" t="n"/>
      <c r="B29" s="14" t="n"/>
      <c r="C29" s="15" t="n"/>
      <c r="D29" s="15" t="n"/>
    </row>
    <row r="30" ht="15" customHeight="1" s="12">
      <c r="A30" s="14" t="n"/>
      <c r="B30" s="14" t="n"/>
      <c r="C30" s="15" t="n"/>
      <c r="D30" s="15" t="n"/>
    </row>
    <row r="31" ht="15" customHeight="1" s="12">
      <c r="A31" s="14" t="n"/>
      <c r="B31" s="14" t="n"/>
      <c r="C31" s="15" t="n"/>
      <c r="D31" s="1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F199"/>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1" min="1" max="1"/>
    <col width="28" customWidth="1" style="11" min="2" max="2"/>
    <col width="14" customWidth="1" style="11" min="3" max="3"/>
    <col width="16" customWidth="1" style="11" min="4" max="4"/>
    <col width="22" customWidth="1" style="11" min="5" max="5"/>
    <col width="16" customWidth="1" style="11" min="6" max="6"/>
  </cols>
  <sheetData>
    <row r="1" ht="15" customHeight="1" s="12">
      <c r="A1" s="13" t="inlineStr">
        <is>
          <t>كود</t>
        </is>
      </c>
      <c r="B1" s="13" t="inlineStr">
        <is>
          <t>الوصف</t>
        </is>
      </c>
      <c r="C1" s="13" t="inlineStr">
        <is>
          <t>التاريخ</t>
        </is>
      </c>
      <c r="D1" s="13" t="inlineStr">
        <is>
          <t>المبلغ لكل شقة</t>
        </is>
      </c>
      <c r="E1" s="13" t="inlineStr">
        <is>
          <t>النوع (مشروع / صندوق)</t>
        </is>
      </c>
      <c r="F1" s="13" t="inlineStr">
        <is>
          <t>تاريخ الاستحقاق</t>
        </is>
      </c>
    </row>
    <row r="2" ht="15" customHeight="1" s="12">
      <c r="A2" s="14" t="inlineStr">
        <is>
          <t>P1</t>
        </is>
      </c>
      <c r="B2" s="14" t="inlineStr">
        <is>
          <t>مثال: إصلاح الأسانسير</t>
        </is>
      </c>
      <c r="C2" s="16" t="n">
        <v>46313</v>
      </c>
      <c r="D2" s="14" t="n">
        <v>500</v>
      </c>
      <c r="E2" s="14" t="inlineStr">
        <is>
          <t>مشروع</t>
        </is>
      </c>
      <c r="F2" s="16" t="n">
        <v>46326</v>
      </c>
    </row>
    <row r="3" ht="15" customHeight="1" s="12">
      <c r="A3" s="14" t="inlineStr">
        <is>
          <t>M-2026-10</t>
        </is>
      </c>
      <c r="B3" s="14" t="inlineStr">
        <is>
          <t>اشتراك الصندوق - أكتوبر</t>
        </is>
      </c>
      <c r="C3" s="16" t="n">
        <v>46296</v>
      </c>
      <c r="D3" s="14" t="n">
        <v>50</v>
      </c>
      <c r="E3" s="14" t="inlineStr">
        <is>
          <t>صندوق</t>
        </is>
      </c>
      <c r="F3" s="16" t="n">
        <v>46305</v>
      </c>
    </row>
    <row r="4" ht="15" customHeight="1" s="12">
      <c r="A4" s="14" t="n"/>
      <c r="B4" s="14" t="n"/>
      <c r="C4" s="16" t="n"/>
      <c r="D4" s="14" t="n"/>
      <c r="E4" s="14" t="n"/>
      <c r="F4" s="16" t="n"/>
    </row>
    <row r="5" ht="15" customHeight="1" s="12">
      <c r="A5" s="14" t="n"/>
      <c r="B5" s="14" t="n"/>
      <c r="C5" s="16" t="n"/>
      <c r="D5" s="14" t="n"/>
      <c r="E5" s="14" t="n"/>
      <c r="F5" s="16" t="n"/>
    </row>
    <row r="6" ht="15" customHeight="1" s="12">
      <c r="A6" s="14" t="n"/>
      <c r="B6" s="14" t="n"/>
      <c r="C6" s="16" t="n"/>
      <c r="D6" s="14" t="n"/>
      <c r="E6" s="14" t="n"/>
      <c r="F6" s="16" t="n"/>
    </row>
    <row r="7" ht="15" customHeight="1" s="12">
      <c r="A7" s="14" t="n"/>
      <c r="B7" s="14" t="n"/>
      <c r="C7" s="16" t="n"/>
      <c r="D7" s="14" t="n"/>
      <c r="E7" s="14" t="n"/>
      <c r="F7" s="16" t="n"/>
    </row>
    <row r="8" ht="15" customHeight="1" s="12">
      <c r="A8" s="14" t="n"/>
      <c r="B8" s="14" t="n"/>
      <c r="C8" s="16" t="n"/>
      <c r="D8" s="14" t="n"/>
      <c r="E8" s="14" t="n"/>
      <c r="F8" s="16" t="n"/>
    </row>
    <row r="9" ht="15" customHeight="1" s="12">
      <c r="A9" s="14" t="n"/>
      <c r="B9" s="14" t="n"/>
      <c r="C9" s="16" t="n"/>
      <c r="D9" s="14" t="n"/>
      <c r="E9" s="14" t="n"/>
      <c r="F9" s="16" t="n"/>
    </row>
    <row r="10" ht="15" customHeight="1" s="12">
      <c r="A10" s="14" t="n"/>
      <c r="B10" s="14" t="n"/>
      <c r="C10" s="16" t="n"/>
      <c r="D10" s="14" t="n"/>
      <c r="E10" s="14" t="n"/>
      <c r="F10" s="16" t="n"/>
    </row>
    <row r="11" ht="15" customHeight="1" s="12">
      <c r="A11" s="14" t="n"/>
      <c r="B11" s="14" t="n"/>
      <c r="C11" s="16" t="n"/>
      <c r="D11" s="14" t="n"/>
      <c r="E11" s="14" t="n"/>
      <c r="F11" s="16" t="n"/>
    </row>
    <row r="12" ht="15" customHeight="1" s="12">
      <c r="A12" s="14" t="n"/>
      <c r="B12" s="14" t="n"/>
      <c r="C12" s="16" t="n"/>
      <c r="D12" s="14" t="n"/>
      <c r="E12" s="14" t="n"/>
      <c r="F12" s="16" t="n"/>
    </row>
    <row r="13" ht="15" customHeight="1" s="12">
      <c r="A13" s="14" t="n"/>
      <c r="B13" s="14" t="n"/>
      <c r="C13" s="16" t="n"/>
      <c r="D13" s="14" t="n"/>
      <c r="E13" s="14" t="n"/>
      <c r="F13" s="16" t="n"/>
    </row>
    <row r="14" ht="15" customHeight="1" s="12">
      <c r="A14" s="14" t="n"/>
      <c r="B14" s="14" t="n"/>
      <c r="C14" s="16" t="n"/>
      <c r="D14" s="14" t="n"/>
      <c r="E14" s="14" t="n"/>
      <c r="F14" s="16" t="n"/>
    </row>
    <row r="15" ht="15" customHeight="1" s="12">
      <c r="A15" s="14" t="n"/>
      <c r="B15" s="14" t="n"/>
      <c r="C15" s="16" t="n"/>
      <c r="D15" s="14" t="n"/>
      <c r="E15" s="14" t="n"/>
      <c r="F15" s="16" t="n"/>
    </row>
    <row r="16" ht="15" customHeight="1" s="12">
      <c r="A16" s="14" t="n"/>
      <c r="B16" s="14" t="n"/>
      <c r="C16" s="16" t="n"/>
      <c r="D16" s="14" t="n"/>
      <c r="E16" s="14" t="n"/>
      <c r="F16" s="16" t="n"/>
    </row>
    <row r="17" ht="15" customHeight="1" s="12">
      <c r="A17" s="14" t="n"/>
      <c r="B17" s="14" t="n"/>
      <c r="C17" s="16" t="n"/>
      <c r="D17" s="14" t="n"/>
      <c r="E17" s="14" t="n"/>
      <c r="F17" s="16" t="n"/>
    </row>
    <row r="18" ht="15" customHeight="1" s="12">
      <c r="A18" s="14" t="n"/>
      <c r="B18" s="14" t="n"/>
      <c r="C18" s="16" t="n"/>
      <c r="D18" s="14" t="n"/>
      <c r="E18" s="14" t="n"/>
      <c r="F18" s="16" t="n"/>
    </row>
    <row r="19" ht="15" customHeight="1" s="12">
      <c r="A19" s="14" t="n"/>
      <c r="B19" s="14" t="n"/>
      <c r="C19" s="16" t="n"/>
      <c r="D19" s="14" t="n"/>
      <c r="E19" s="14" t="n"/>
      <c r="F19" s="16" t="n"/>
    </row>
    <row r="20" ht="15" customHeight="1" s="12">
      <c r="A20" s="14" t="n"/>
      <c r="B20" s="14" t="n"/>
      <c r="C20" s="16" t="n"/>
      <c r="D20" s="14" t="n"/>
      <c r="E20" s="14" t="n"/>
      <c r="F20" s="16" t="n"/>
    </row>
    <row r="21" ht="15" customHeight="1" s="12">
      <c r="A21" s="14" t="n"/>
      <c r="B21" s="14" t="n"/>
      <c r="C21" s="16" t="n"/>
      <c r="D21" s="14" t="n"/>
      <c r="E21" s="14" t="n"/>
      <c r="F21" s="16" t="n"/>
    </row>
    <row r="22" ht="15" customHeight="1" s="12">
      <c r="A22" s="14" t="n"/>
      <c r="B22" s="14" t="n"/>
      <c r="C22" s="16" t="n"/>
      <c r="D22" s="14" t="n"/>
      <c r="E22" s="14" t="n"/>
      <c r="F22" s="16" t="n"/>
    </row>
    <row r="23" ht="15" customHeight="1" s="12">
      <c r="A23" s="14" t="n"/>
      <c r="B23" s="14" t="n"/>
      <c r="C23" s="16" t="n"/>
      <c r="D23" s="14" t="n"/>
      <c r="E23" s="14" t="n"/>
      <c r="F23" s="16" t="n"/>
    </row>
    <row r="24" ht="15" customHeight="1" s="12">
      <c r="A24" s="14" t="n"/>
      <c r="B24" s="14" t="n"/>
      <c r="C24" s="16" t="n"/>
      <c r="D24" s="14" t="n"/>
      <c r="E24" s="14" t="n"/>
      <c r="F24" s="16" t="n"/>
    </row>
    <row r="25" ht="15" customHeight="1" s="12">
      <c r="A25" s="14" t="n"/>
      <c r="B25" s="14" t="n"/>
      <c r="C25" s="16" t="n"/>
      <c r="D25" s="14" t="n"/>
      <c r="E25" s="14" t="n"/>
      <c r="F25" s="16" t="n"/>
    </row>
    <row r="26" ht="15" customHeight="1" s="12">
      <c r="A26" s="14" t="n"/>
      <c r="B26" s="14" t="n"/>
      <c r="C26" s="16" t="n"/>
      <c r="D26" s="14" t="n"/>
      <c r="E26" s="14" t="n"/>
      <c r="F26" s="16" t="n"/>
    </row>
    <row r="27" ht="15" customHeight="1" s="12">
      <c r="A27" s="14" t="n"/>
      <c r="B27" s="14" t="n"/>
      <c r="C27" s="16" t="n"/>
      <c r="D27" s="14" t="n"/>
      <c r="E27" s="14" t="n"/>
      <c r="F27" s="16" t="n"/>
    </row>
    <row r="28" ht="15" customHeight="1" s="12">
      <c r="A28" s="14" t="n"/>
      <c r="B28" s="14" t="n"/>
      <c r="C28" s="16" t="n"/>
      <c r="D28" s="14" t="n"/>
      <c r="E28" s="14" t="n"/>
      <c r="F28" s="16" t="n"/>
    </row>
    <row r="29" ht="15" customHeight="1" s="12">
      <c r="A29" s="14" t="n"/>
      <c r="B29" s="14" t="n"/>
      <c r="C29" s="16" t="n"/>
      <c r="D29" s="14" t="n"/>
      <c r="E29" s="14" t="n"/>
      <c r="F29" s="16" t="n"/>
    </row>
    <row r="30" ht="15" customHeight="1" s="12">
      <c r="A30" s="14" t="n"/>
      <c r="B30" s="14" t="n"/>
      <c r="C30" s="16" t="n"/>
      <c r="D30" s="14" t="n"/>
      <c r="E30" s="14" t="n"/>
      <c r="F30" s="16" t="n"/>
    </row>
    <row r="31" ht="15" customHeight="1" s="12">
      <c r="A31" s="14" t="n"/>
      <c r="B31" s="14" t="n"/>
      <c r="C31" s="16" t="n"/>
      <c r="D31" s="14" t="n"/>
      <c r="E31" s="14" t="n"/>
      <c r="F31" s="16" t="n"/>
    </row>
    <row r="32" ht="15" customHeight="1" s="12">
      <c r="A32" s="14" t="n"/>
      <c r="B32" s="14" t="n"/>
      <c r="C32" s="16" t="n"/>
      <c r="D32" s="14" t="n"/>
      <c r="E32" s="14" t="n"/>
      <c r="F32" s="16" t="n"/>
    </row>
    <row r="33" ht="15" customHeight="1" s="12">
      <c r="A33" s="14" t="n"/>
      <c r="B33" s="14" t="n"/>
      <c r="C33" s="16" t="n"/>
      <c r="D33" s="14" t="n"/>
      <c r="E33" s="14" t="n"/>
      <c r="F33" s="16" t="n"/>
    </row>
    <row r="34" ht="15" customHeight="1" s="12">
      <c r="A34" s="14" t="n"/>
      <c r="B34" s="14" t="n"/>
      <c r="C34" s="16" t="n"/>
      <c r="D34" s="14" t="n"/>
      <c r="E34" s="14" t="n"/>
      <c r="F34" s="16" t="n"/>
    </row>
    <row r="35" ht="15" customHeight="1" s="12">
      <c r="A35" s="14" t="n"/>
      <c r="B35" s="14" t="n"/>
      <c r="C35" s="16" t="n"/>
      <c r="D35" s="14" t="n"/>
      <c r="E35" s="14" t="n"/>
      <c r="F35" s="16" t="n"/>
    </row>
    <row r="36" ht="15" customHeight="1" s="12">
      <c r="A36" s="14" t="n"/>
      <c r="B36" s="14" t="n"/>
      <c r="C36" s="16" t="n"/>
      <c r="D36" s="14" t="n"/>
      <c r="E36" s="14" t="n"/>
      <c r="F36" s="16" t="n"/>
    </row>
    <row r="37" ht="15" customHeight="1" s="12">
      <c r="A37" s="14" t="n"/>
      <c r="B37" s="14" t="n"/>
      <c r="C37" s="16" t="n"/>
      <c r="D37" s="14" t="n"/>
      <c r="E37" s="14" t="n"/>
      <c r="F37" s="16" t="n"/>
    </row>
    <row r="38" ht="15" customHeight="1" s="12">
      <c r="A38" s="14" t="n"/>
      <c r="B38" s="14" t="n"/>
      <c r="C38" s="16" t="n"/>
      <c r="D38" s="14" t="n"/>
      <c r="E38" s="14" t="n"/>
      <c r="F38" s="16" t="n"/>
    </row>
    <row r="39" ht="15" customHeight="1" s="12">
      <c r="A39" s="14" t="n"/>
      <c r="B39" s="14" t="n"/>
      <c r="C39" s="16" t="n"/>
      <c r="D39" s="14" t="n"/>
      <c r="E39" s="14" t="n"/>
      <c r="F39" s="16" t="n"/>
    </row>
    <row r="40" ht="15" customHeight="1" s="12">
      <c r="A40" s="14" t="n"/>
      <c r="B40" s="14" t="n"/>
      <c r="C40" s="16" t="n"/>
      <c r="D40" s="14" t="n"/>
      <c r="E40" s="14" t="n"/>
      <c r="F40" s="16" t="n"/>
    </row>
    <row r="41" ht="15" customHeight="1" s="12">
      <c r="A41" s="14" t="n"/>
      <c r="B41" s="14" t="n"/>
      <c r="C41" s="16" t="n"/>
      <c r="D41" s="14" t="n"/>
      <c r="E41" s="14" t="n"/>
      <c r="F41" s="16" t="n"/>
    </row>
    <row r="42" ht="15" customHeight="1" s="12">
      <c r="A42" s="14" t="n"/>
      <c r="B42" s="14" t="n"/>
      <c r="C42" s="16" t="n"/>
      <c r="D42" s="14" t="n"/>
      <c r="E42" s="14" t="n"/>
      <c r="F42" s="16" t="n"/>
    </row>
    <row r="43" ht="15" customHeight="1" s="12">
      <c r="A43" s="14" t="n"/>
      <c r="B43" s="14" t="n"/>
      <c r="C43" s="16" t="n"/>
      <c r="D43" s="14" t="n"/>
      <c r="E43" s="14" t="n"/>
      <c r="F43" s="16" t="n"/>
    </row>
    <row r="44" ht="15" customHeight="1" s="12">
      <c r="A44" s="14" t="n"/>
      <c r="B44" s="14" t="n"/>
      <c r="C44" s="16" t="n"/>
      <c r="D44" s="14" t="n"/>
      <c r="E44" s="14" t="n"/>
      <c r="F44" s="16" t="n"/>
    </row>
    <row r="45" ht="15" customHeight="1" s="12">
      <c r="A45" s="14" t="n"/>
      <c r="B45" s="14" t="n"/>
      <c r="C45" s="16" t="n"/>
      <c r="D45" s="14" t="n"/>
      <c r="E45" s="14" t="n"/>
      <c r="F45" s="16" t="n"/>
    </row>
    <row r="46" ht="15" customHeight="1" s="12">
      <c r="A46" s="14" t="n"/>
      <c r="B46" s="14" t="n"/>
      <c r="C46" s="16" t="n"/>
      <c r="D46" s="14" t="n"/>
      <c r="E46" s="14" t="n"/>
      <c r="F46" s="16" t="n"/>
    </row>
    <row r="47" ht="15" customHeight="1" s="12">
      <c r="A47" s="14" t="n"/>
      <c r="B47" s="14" t="n"/>
      <c r="C47" s="16" t="n"/>
      <c r="D47" s="14" t="n"/>
      <c r="E47" s="14" t="n"/>
      <c r="F47" s="16" t="n"/>
    </row>
    <row r="48" ht="15" customHeight="1" s="12">
      <c r="A48" s="14" t="n"/>
      <c r="B48" s="14" t="n"/>
      <c r="C48" s="16" t="n"/>
      <c r="D48" s="14" t="n"/>
      <c r="E48" s="14" t="n"/>
      <c r="F48" s="16" t="n"/>
    </row>
    <row r="49" ht="15" customHeight="1" s="12">
      <c r="A49" s="14" t="n"/>
      <c r="B49" s="14" t="n"/>
      <c r="C49" s="16" t="n"/>
      <c r="D49" s="14" t="n"/>
      <c r="E49" s="14" t="n"/>
      <c r="F49" s="16" t="n"/>
    </row>
    <row r="50" ht="15" customHeight="1" s="12">
      <c r="A50" s="14" t="n"/>
      <c r="B50" s="14" t="n"/>
      <c r="C50" s="16" t="n"/>
      <c r="D50" s="14" t="n"/>
      <c r="E50" s="14" t="n"/>
      <c r="F50" s="16" t="n"/>
    </row>
    <row r="51" ht="15" customHeight="1" s="12">
      <c r="A51" s="14" t="n"/>
      <c r="B51" s="14" t="n"/>
      <c r="C51" s="16" t="n"/>
      <c r="D51" s="14" t="n"/>
      <c r="E51" s="14" t="n"/>
      <c r="F51" s="16" t="n"/>
    </row>
    <row r="52" ht="15" customHeight="1" s="12">
      <c r="A52" s="14" t="n"/>
      <c r="B52" s="14" t="n"/>
      <c r="C52" s="16" t="n"/>
      <c r="D52" s="14" t="n"/>
      <c r="E52" s="14" t="n"/>
      <c r="F52" s="16" t="n"/>
    </row>
    <row r="53" ht="15" customHeight="1" s="12">
      <c r="A53" s="14" t="n"/>
      <c r="B53" s="14" t="n"/>
      <c r="C53" s="16" t="n"/>
      <c r="D53" s="14" t="n"/>
      <c r="E53" s="14" t="n"/>
      <c r="F53" s="16" t="n"/>
    </row>
    <row r="54" ht="15" customHeight="1" s="12">
      <c r="A54" s="14" t="n"/>
      <c r="B54" s="14" t="n"/>
      <c r="C54" s="16" t="n"/>
      <c r="D54" s="14" t="n"/>
      <c r="E54" s="14" t="n"/>
      <c r="F54" s="16" t="n"/>
    </row>
    <row r="55" ht="15" customHeight="1" s="12">
      <c r="A55" s="14" t="n"/>
      <c r="B55" s="14" t="n"/>
      <c r="C55" s="16" t="n"/>
      <c r="D55" s="14" t="n"/>
      <c r="E55" s="14" t="n"/>
      <c r="F55" s="16" t="n"/>
    </row>
    <row r="56" ht="15" customHeight="1" s="12">
      <c r="A56" s="14" t="n"/>
      <c r="B56" s="14" t="n"/>
      <c r="C56" s="16" t="n"/>
      <c r="D56" s="14" t="n"/>
      <c r="E56" s="14" t="n"/>
      <c r="F56" s="16" t="n"/>
    </row>
    <row r="57" ht="15" customHeight="1" s="12">
      <c r="A57" s="14" t="n"/>
      <c r="B57" s="14" t="n"/>
      <c r="C57" s="16" t="n"/>
      <c r="D57" s="14" t="n"/>
      <c r="E57" s="14" t="n"/>
      <c r="F57" s="16" t="n"/>
    </row>
    <row r="58" ht="15" customHeight="1" s="12">
      <c r="A58" s="14" t="n"/>
      <c r="B58" s="14" t="n"/>
      <c r="C58" s="16" t="n"/>
      <c r="D58" s="14" t="n"/>
      <c r="E58" s="14" t="n"/>
      <c r="F58" s="16" t="n"/>
    </row>
    <row r="59" ht="15" customHeight="1" s="12">
      <c r="A59" s="14" t="n"/>
      <c r="B59" s="14" t="n"/>
      <c r="C59" s="16" t="n"/>
      <c r="D59" s="14" t="n"/>
      <c r="E59" s="14" t="n"/>
      <c r="F59" s="16" t="n"/>
    </row>
    <row r="60" ht="15" customHeight="1" s="12">
      <c r="A60" s="14" t="n"/>
      <c r="B60" s="14" t="n"/>
      <c r="C60" s="16" t="n"/>
      <c r="D60" s="14" t="n"/>
      <c r="E60" s="14" t="n"/>
      <c r="F60" s="16" t="n"/>
    </row>
    <row r="61" ht="15" customHeight="1" s="12">
      <c r="A61" s="14" t="n"/>
      <c r="B61" s="14" t="n"/>
      <c r="C61" s="16" t="n"/>
      <c r="D61" s="14" t="n"/>
      <c r="E61" s="14" t="n"/>
      <c r="F61" s="16" t="n"/>
    </row>
    <row r="62" ht="15" customHeight="1" s="12">
      <c r="A62" s="14" t="n"/>
      <c r="B62" s="14" t="n"/>
      <c r="C62" s="16" t="n"/>
      <c r="D62" s="14" t="n"/>
      <c r="E62" s="14" t="n"/>
      <c r="F62" s="16" t="n"/>
    </row>
    <row r="63" ht="15" customHeight="1" s="12">
      <c r="A63" s="14" t="n"/>
      <c r="B63" s="14" t="n"/>
      <c r="C63" s="16" t="n"/>
      <c r="D63" s="14" t="n"/>
      <c r="E63" s="14" t="n"/>
      <c r="F63" s="16" t="n"/>
    </row>
    <row r="64" ht="15" customHeight="1" s="12">
      <c r="A64" s="14" t="n"/>
      <c r="B64" s="14" t="n"/>
      <c r="C64" s="16" t="n"/>
      <c r="D64" s="14" t="n"/>
      <c r="E64" s="14" t="n"/>
      <c r="F64" s="16" t="n"/>
    </row>
    <row r="65" ht="15" customHeight="1" s="12">
      <c r="A65" s="14" t="n"/>
      <c r="B65" s="14" t="n"/>
      <c r="C65" s="16" t="n"/>
      <c r="D65" s="14" t="n"/>
      <c r="E65" s="14" t="n"/>
      <c r="F65" s="16" t="n"/>
    </row>
    <row r="66" ht="15" customHeight="1" s="12">
      <c r="A66" s="14" t="n"/>
      <c r="B66" s="14" t="n"/>
      <c r="C66" s="16" t="n"/>
      <c r="D66" s="14" t="n"/>
      <c r="E66" s="14" t="n"/>
      <c r="F66" s="16" t="n"/>
    </row>
    <row r="67" ht="15" customHeight="1" s="12">
      <c r="A67" s="14" t="n"/>
      <c r="B67" s="14" t="n"/>
      <c r="C67" s="16" t="n"/>
      <c r="D67" s="14" t="n"/>
      <c r="E67" s="14" t="n"/>
      <c r="F67" s="16" t="n"/>
    </row>
    <row r="68" ht="15" customHeight="1" s="12">
      <c r="A68" s="14" t="n"/>
      <c r="B68" s="14" t="n"/>
      <c r="C68" s="16" t="n"/>
      <c r="D68" s="14" t="n"/>
      <c r="E68" s="14" t="n"/>
      <c r="F68" s="16" t="n"/>
    </row>
    <row r="69" ht="15" customHeight="1" s="12">
      <c r="A69" s="14" t="n"/>
      <c r="B69" s="14" t="n"/>
      <c r="C69" s="16" t="n"/>
      <c r="D69" s="14" t="n"/>
      <c r="E69" s="14" t="n"/>
      <c r="F69" s="16" t="n"/>
    </row>
    <row r="70" ht="15" customHeight="1" s="12">
      <c r="A70" s="14" t="n"/>
      <c r="B70" s="14" t="n"/>
      <c r="C70" s="16" t="n"/>
      <c r="D70" s="14" t="n"/>
      <c r="E70" s="14" t="n"/>
      <c r="F70" s="16" t="n"/>
    </row>
    <row r="71" ht="15" customHeight="1" s="12">
      <c r="A71" s="14" t="n"/>
      <c r="B71" s="14" t="n"/>
      <c r="C71" s="16" t="n"/>
      <c r="D71" s="14" t="n"/>
      <c r="E71" s="14" t="n"/>
      <c r="F71" s="16" t="n"/>
    </row>
    <row r="72" ht="15" customHeight="1" s="12">
      <c r="A72" s="14" t="n"/>
      <c r="B72" s="14" t="n"/>
      <c r="C72" s="16" t="n"/>
      <c r="D72" s="14" t="n"/>
      <c r="E72" s="14" t="n"/>
      <c r="F72" s="16" t="n"/>
    </row>
    <row r="73" ht="15" customHeight="1" s="12">
      <c r="A73" s="14" t="n"/>
      <c r="B73" s="14" t="n"/>
      <c r="C73" s="16" t="n"/>
      <c r="D73" s="14" t="n"/>
      <c r="E73" s="14" t="n"/>
      <c r="F73" s="16" t="n"/>
    </row>
    <row r="74" ht="15" customHeight="1" s="12">
      <c r="A74" s="14" t="n"/>
      <c r="B74" s="14" t="n"/>
      <c r="C74" s="16" t="n"/>
      <c r="D74" s="14" t="n"/>
      <c r="E74" s="14" t="n"/>
      <c r="F74" s="16" t="n"/>
    </row>
    <row r="75" ht="15" customHeight="1" s="12">
      <c r="A75" s="14" t="n"/>
      <c r="B75" s="14" t="n"/>
      <c r="C75" s="16" t="n"/>
      <c r="D75" s="14" t="n"/>
      <c r="E75" s="14" t="n"/>
      <c r="F75" s="16" t="n"/>
    </row>
    <row r="76" ht="15" customHeight="1" s="12">
      <c r="A76" s="14" t="n"/>
      <c r="B76" s="14" t="n"/>
      <c r="C76" s="16" t="n"/>
      <c r="D76" s="14" t="n"/>
      <c r="E76" s="14" t="n"/>
      <c r="F76" s="16" t="n"/>
    </row>
    <row r="77" ht="15" customHeight="1" s="12">
      <c r="A77" s="14" t="n"/>
      <c r="B77" s="14" t="n"/>
      <c r="C77" s="16" t="n"/>
      <c r="D77" s="14" t="n"/>
      <c r="E77" s="14" t="n"/>
      <c r="F77" s="16" t="n"/>
    </row>
    <row r="78" ht="15" customHeight="1" s="12">
      <c r="A78" s="14" t="n"/>
      <c r="B78" s="14" t="n"/>
      <c r="C78" s="16" t="n"/>
      <c r="D78" s="14" t="n"/>
      <c r="E78" s="14" t="n"/>
      <c r="F78" s="16" t="n"/>
    </row>
    <row r="79" ht="15" customHeight="1" s="12">
      <c r="A79" s="14" t="n"/>
      <c r="B79" s="14" t="n"/>
      <c r="C79" s="16" t="n"/>
      <c r="D79" s="14" t="n"/>
      <c r="E79" s="14" t="n"/>
      <c r="F79" s="16" t="n"/>
    </row>
    <row r="80" ht="15" customHeight="1" s="12">
      <c r="A80" s="14" t="n"/>
      <c r="B80" s="14" t="n"/>
      <c r="C80" s="16" t="n"/>
      <c r="D80" s="14" t="n"/>
      <c r="E80" s="14" t="n"/>
      <c r="F80" s="16" t="n"/>
    </row>
    <row r="81" ht="15" customHeight="1" s="12">
      <c r="A81" s="14" t="n"/>
      <c r="B81" s="14" t="n"/>
      <c r="C81" s="16" t="n"/>
      <c r="D81" s="14" t="n"/>
      <c r="E81" s="14" t="n"/>
      <c r="F81" s="16" t="n"/>
    </row>
    <row r="82" ht="15" customHeight="1" s="12">
      <c r="A82" s="14" t="n"/>
      <c r="B82" s="14" t="n"/>
      <c r="C82" s="16" t="n"/>
      <c r="D82" s="14" t="n"/>
      <c r="E82" s="14" t="n"/>
      <c r="F82" s="16" t="n"/>
    </row>
    <row r="83" ht="15" customHeight="1" s="12">
      <c r="A83" s="14" t="n"/>
      <c r="B83" s="14" t="n"/>
      <c r="C83" s="16" t="n"/>
      <c r="D83" s="14" t="n"/>
      <c r="E83" s="14" t="n"/>
      <c r="F83" s="16" t="n"/>
    </row>
    <row r="84" ht="15" customHeight="1" s="12">
      <c r="A84" s="14" t="n"/>
      <c r="B84" s="14" t="n"/>
      <c r="C84" s="16" t="n"/>
      <c r="D84" s="14" t="n"/>
      <c r="E84" s="14" t="n"/>
      <c r="F84" s="16" t="n"/>
    </row>
    <row r="85" ht="15" customHeight="1" s="12">
      <c r="A85" s="14" t="n"/>
      <c r="B85" s="14" t="n"/>
      <c r="C85" s="16" t="n"/>
      <c r="D85" s="14" t="n"/>
      <c r="E85" s="14" t="n"/>
      <c r="F85" s="16" t="n"/>
    </row>
    <row r="86" ht="15" customHeight="1" s="12">
      <c r="A86" s="14" t="n"/>
      <c r="B86" s="14" t="n"/>
      <c r="C86" s="16" t="n"/>
      <c r="D86" s="14" t="n"/>
      <c r="E86" s="14" t="n"/>
      <c r="F86" s="16" t="n"/>
    </row>
    <row r="87" ht="15" customHeight="1" s="12">
      <c r="A87" s="14" t="n"/>
      <c r="B87" s="14" t="n"/>
      <c r="C87" s="16" t="n"/>
      <c r="D87" s="14" t="n"/>
      <c r="E87" s="14" t="n"/>
      <c r="F87" s="16" t="n"/>
    </row>
    <row r="88" ht="15" customHeight="1" s="12">
      <c r="A88" s="14" t="n"/>
      <c r="B88" s="14" t="n"/>
      <c r="C88" s="16" t="n"/>
      <c r="D88" s="14" t="n"/>
      <c r="E88" s="14" t="n"/>
      <c r="F88" s="16" t="n"/>
    </row>
    <row r="89" ht="15" customHeight="1" s="12">
      <c r="A89" s="14" t="n"/>
      <c r="B89" s="14" t="n"/>
      <c r="C89" s="16" t="n"/>
      <c r="D89" s="14" t="n"/>
      <c r="E89" s="14" t="n"/>
      <c r="F89" s="16" t="n"/>
    </row>
    <row r="90" ht="15" customHeight="1" s="12">
      <c r="A90" s="14" t="n"/>
      <c r="B90" s="14" t="n"/>
      <c r="C90" s="16" t="n"/>
      <c r="D90" s="14" t="n"/>
      <c r="E90" s="14" t="n"/>
      <c r="F90" s="16" t="n"/>
    </row>
    <row r="91" ht="15" customHeight="1" s="12">
      <c r="A91" s="14" t="n"/>
      <c r="B91" s="14" t="n"/>
      <c r="C91" s="16" t="n"/>
      <c r="D91" s="14" t="n"/>
      <c r="E91" s="14" t="n"/>
      <c r="F91" s="16" t="n"/>
    </row>
    <row r="92" ht="15" customHeight="1" s="12">
      <c r="A92" s="14" t="n"/>
      <c r="B92" s="14" t="n"/>
      <c r="C92" s="16" t="n"/>
      <c r="D92" s="14" t="n"/>
      <c r="E92" s="14" t="n"/>
      <c r="F92" s="16" t="n"/>
    </row>
    <row r="93" ht="15" customHeight="1" s="12">
      <c r="A93" s="14" t="n"/>
      <c r="B93" s="14" t="n"/>
      <c r="C93" s="16" t="n"/>
      <c r="D93" s="14" t="n"/>
      <c r="E93" s="14" t="n"/>
      <c r="F93" s="16" t="n"/>
    </row>
    <row r="94" ht="15" customHeight="1" s="12">
      <c r="A94" s="14" t="n"/>
      <c r="B94" s="14" t="n"/>
      <c r="C94" s="16" t="n"/>
      <c r="D94" s="14" t="n"/>
      <c r="E94" s="14" t="n"/>
      <c r="F94" s="16" t="n"/>
    </row>
    <row r="95" ht="15" customHeight="1" s="12">
      <c r="A95" s="14" t="n"/>
      <c r="B95" s="14" t="n"/>
      <c r="C95" s="16" t="n"/>
      <c r="D95" s="14" t="n"/>
      <c r="E95" s="14" t="n"/>
      <c r="F95" s="16" t="n"/>
    </row>
    <row r="96" ht="15" customHeight="1" s="12">
      <c r="A96" s="14" t="n"/>
      <c r="B96" s="14" t="n"/>
      <c r="C96" s="16" t="n"/>
      <c r="D96" s="14" t="n"/>
      <c r="E96" s="14" t="n"/>
      <c r="F96" s="16" t="n"/>
    </row>
    <row r="97" ht="15" customHeight="1" s="12">
      <c r="A97" s="14" t="n"/>
      <c r="B97" s="14" t="n"/>
      <c r="C97" s="16" t="n"/>
      <c r="D97" s="14" t="n"/>
      <c r="E97" s="14" t="n"/>
      <c r="F97" s="16" t="n"/>
    </row>
    <row r="98" ht="15" customHeight="1" s="12">
      <c r="A98" s="14" t="n"/>
      <c r="B98" s="14" t="n"/>
      <c r="C98" s="16" t="n"/>
      <c r="D98" s="14" t="n"/>
      <c r="E98" s="14" t="n"/>
      <c r="F98" s="16" t="n"/>
    </row>
    <row r="99" ht="15" customHeight="1" s="12">
      <c r="A99" s="14" t="n"/>
      <c r="B99" s="14" t="n"/>
      <c r="C99" s="16" t="n"/>
      <c r="D99" s="14" t="n"/>
      <c r="E99" s="14" t="n"/>
      <c r="F99" s="16" t="n"/>
    </row>
    <row r="100" ht="15" customHeight="1" s="12">
      <c r="A100" s="14" t="n"/>
      <c r="B100" s="14" t="n"/>
      <c r="C100" s="16" t="n"/>
      <c r="D100" s="14" t="n"/>
      <c r="E100" s="14" t="n"/>
      <c r="F100" s="16" t="n"/>
    </row>
    <row r="101" ht="15" customHeight="1" s="12">
      <c r="A101" s="14" t="n"/>
      <c r="B101" s="14" t="n"/>
      <c r="C101" s="16" t="n"/>
      <c r="D101" s="14" t="n"/>
      <c r="E101" s="14" t="n"/>
      <c r="F101" s="16" t="n"/>
    </row>
    <row r="102" ht="15" customHeight="1" s="12">
      <c r="A102" s="14" t="n"/>
      <c r="B102" s="14" t="n"/>
      <c r="C102" s="16" t="n"/>
      <c r="D102" s="14" t="n"/>
      <c r="E102" s="14" t="n"/>
      <c r="F102" s="16" t="n"/>
    </row>
    <row r="103" ht="15" customHeight="1" s="12">
      <c r="A103" s="14" t="n"/>
      <c r="B103" s="14" t="n"/>
      <c r="C103" s="16" t="n"/>
      <c r="D103" s="14" t="n"/>
      <c r="E103" s="14" t="n"/>
      <c r="F103" s="16" t="n"/>
    </row>
    <row r="104" ht="15" customHeight="1" s="12">
      <c r="A104" s="14" t="n"/>
      <c r="B104" s="14" t="n"/>
      <c r="C104" s="16" t="n"/>
      <c r="D104" s="14" t="n"/>
      <c r="E104" s="14" t="n"/>
      <c r="F104" s="16" t="n"/>
    </row>
    <row r="105" ht="15" customHeight="1" s="12">
      <c r="A105" s="14" t="n"/>
      <c r="B105" s="14" t="n"/>
      <c r="C105" s="16" t="n"/>
      <c r="D105" s="14" t="n"/>
      <c r="E105" s="14" t="n"/>
      <c r="F105" s="16" t="n"/>
    </row>
    <row r="106" ht="15" customHeight="1" s="12">
      <c r="A106" s="14" t="n"/>
      <c r="B106" s="14" t="n"/>
      <c r="C106" s="16" t="n"/>
      <c r="D106" s="14" t="n"/>
      <c r="E106" s="14" t="n"/>
      <c r="F106" s="16" t="n"/>
    </row>
    <row r="107" ht="15" customHeight="1" s="12">
      <c r="A107" s="14" t="n"/>
      <c r="B107" s="14" t="n"/>
      <c r="C107" s="16" t="n"/>
      <c r="D107" s="14" t="n"/>
      <c r="E107" s="14" t="n"/>
      <c r="F107" s="16" t="n"/>
    </row>
    <row r="108" ht="15" customHeight="1" s="12">
      <c r="A108" s="14" t="n"/>
      <c r="B108" s="14" t="n"/>
      <c r="C108" s="16" t="n"/>
      <c r="D108" s="14" t="n"/>
      <c r="E108" s="14" t="n"/>
      <c r="F108" s="16" t="n"/>
    </row>
    <row r="109" ht="15" customHeight="1" s="12">
      <c r="A109" s="14" t="n"/>
      <c r="B109" s="14" t="n"/>
      <c r="C109" s="16" t="n"/>
      <c r="D109" s="14" t="n"/>
      <c r="E109" s="14" t="n"/>
      <c r="F109" s="16" t="n"/>
    </row>
    <row r="110" ht="15" customHeight="1" s="12">
      <c r="A110" s="14" t="n"/>
      <c r="B110" s="14" t="n"/>
      <c r="C110" s="16" t="n"/>
      <c r="D110" s="14" t="n"/>
      <c r="E110" s="14" t="n"/>
      <c r="F110" s="16" t="n"/>
    </row>
    <row r="111" ht="15" customHeight="1" s="12">
      <c r="A111" s="14" t="n"/>
      <c r="B111" s="14" t="n"/>
      <c r="C111" s="16" t="n"/>
      <c r="D111" s="14" t="n"/>
      <c r="E111" s="14" t="n"/>
      <c r="F111" s="16" t="n"/>
    </row>
    <row r="112" ht="15" customHeight="1" s="12">
      <c r="A112" s="14" t="n"/>
      <c r="B112" s="14" t="n"/>
      <c r="C112" s="16" t="n"/>
      <c r="D112" s="14" t="n"/>
      <c r="E112" s="14" t="n"/>
      <c r="F112" s="16" t="n"/>
    </row>
    <row r="113" ht="15" customHeight="1" s="12">
      <c r="A113" s="14" t="n"/>
      <c r="B113" s="14" t="n"/>
      <c r="C113" s="16" t="n"/>
      <c r="D113" s="14" t="n"/>
      <c r="E113" s="14" t="n"/>
      <c r="F113" s="16" t="n"/>
    </row>
    <row r="114" ht="15" customHeight="1" s="12">
      <c r="A114" s="14" t="n"/>
      <c r="B114" s="14" t="n"/>
      <c r="C114" s="16" t="n"/>
      <c r="D114" s="14" t="n"/>
      <c r="E114" s="14" t="n"/>
      <c r="F114" s="16" t="n"/>
    </row>
    <row r="115" ht="15" customHeight="1" s="12">
      <c r="A115" s="14" t="n"/>
      <c r="B115" s="14" t="n"/>
      <c r="C115" s="16" t="n"/>
      <c r="D115" s="14" t="n"/>
      <c r="E115" s="14" t="n"/>
      <c r="F115" s="16" t="n"/>
    </row>
    <row r="116" ht="15" customHeight="1" s="12">
      <c r="A116" s="14" t="n"/>
      <c r="B116" s="14" t="n"/>
      <c r="C116" s="16" t="n"/>
      <c r="D116" s="14" t="n"/>
      <c r="E116" s="14" t="n"/>
      <c r="F116" s="16" t="n"/>
    </row>
    <row r="117" ht="15" customHeight="1" s="12">
      <c r="A117" s="14" t="n"/>
      <c r="B117" s="14" t="n"/>
      <c r="C117" s="16" t="n"/>
      <c r="D117" s="14" t="n"/>
      <c r="E117" s="14" t="n"/>
      <c r="F117" s="16" t="n"/>
    </row>
    <row r="118" ht="15" customHeight="1" s="12">
      <c r="A118" s="14" t="n"/>
      <c r="B118" s="14" t="n"/>
      <c r="C118" s="16" t="n"/>
      <c r="D118" s="14" t="n"/>
      <c r="E118" s="14" t="n"/>
      <c r="F118" s="16" t="n"/>
    </row>
    <row r="119" ht="15" customHeight="1" s="12">
      <c r="A119" s="14" t="n"/>
      <c r="B119" s="14" t="n"/>
      <c r="C119" s="16" t="n"/>
      <c r="D119" s="14" t="n"/>
      <c r="E119" s="14" t="n"/>
      <c r="F119" s="16" t="n"/>
    </row>
    <row r="120" ht="15" customHeight="1" s="12">
      <c r="A120" s="14" t="n"/>
      <c r="B120" s="14" t="n"/>
      <c r="C120" s="16" t="n"/>
      <c r="D120" s="14" t="n"/>
      <c r="E120" s="14" t="n"/>
      <c r="F120" s="16" t="n"/>
    </row>
    <row r="121" ht="15" customHeight="1" s="12">
      <c r="A121" s="14" t="n"/>
      <c r="B121" s="14" t="n"/>
      <c r="C121" s="16" t="n"/>
      <c r="D121" s="14" t="n"/>
      <c r="E121" s="14" t="n"/>
      <c r="F121" s="16" t="n"/>
    </row>
    <row r="122" ht="15" customHeight="1" s="12">
      <c r="A122" s="14" t="n"/>
      <c r="B122" s="14" t="n"/>
      <c r="C122" s="16" t="n"/>
      <c r="D122" s="14" t="n"/>
      <c r="E122" s="14" t="n"/>
      <c r="F122" s="16" t="n"/>
    </row>
    <row r="123" ht="15" customHeight="1" s="12">
      <c r="A123" s="14" t="n"/>
      <c r="B123" s="14" t="n"/>
      <c r="C123" s="16" t="n"/>
      <c r="D123" s="14" t="n"/>
      <c r="E123" s="14" t="n"/>
      <c r="F123" s="16" t="n"/>
    </row>
    <row r="124" ht="15" customHeight="1" s="12">
      <c r="A124" s="14" t="n"/>
      <c r="B124" s="14" t="n"/>
      <c r="C124" s="16" t="n"/>
      <c r="D124" s="14" t="n"/>
      <c r="E124" s="14" t="n"/>
      <c r="F124" s="16" t="n"/>
    </row>
    <row r="125" ht="15" customHeight="1" s="12">
      <c r="A125" s="14" t="n"/>
      <c r="B125" s="14" t="n"/>
      <c r="C125" s="16" t="n"/>
      <c r="D125" s="14" t="n"/>
      <c r="E125" s="14" t="n"/>
      <c r="F125" s="16" t="n"/>
    </row>
    <row r="126" ht="15" customHeight="1" s="12">
      <c r="A126" s="14" t="n"/>
      <c r="B126" s="14" t="n"/>
      <c r="C126" s="16" t="n"/>
      <c r="D126" s="14" t="n"/>
      <c r="E126" s="14" t="n"/>
      <c r="F126" s="16" t="n"/>
    </row>
    <row r="127" ht="15" customHeight="1" s="12">
      <c r="A127" s="14" t="n"/>
      <c r="B127" s="14" t="n"/>
      <c r="C127" s="16" t="n"/>
      <c r="D127" s="14" t="n"/>
      <c r="E127" s="14" t="n"/>
      <c r="F127" s="16" t="n"/>
    </row>
    <row r="128" ht="15" customHeight="1" s="12">
      <c r="A128" s="14" t="n"/>
      <c r="B128" s="14" t="n"/>
      <c r="C128" s="16" t="n"/>
      <c r="D128" s="14" t="n"/>
      <c r="E128" s="14" t="n"/>
      <c r="F128" s="16" t="n"/>
    </row>
    <row r="129" ht="15" customHeight="1" s="12">
      <c r="A129" s="14" t="n"/>
      <c r="B129" s="14" t="n"/>
      <c r="C129" s="16" t="n"/>
      <c r="D129" s="14" t="n"/>
      <c r="E129" s="14" t="n"/>
      <c r="F129" s="16" t="n"/>
    </row>
    <row r="130" ht="15" customHeight="1" s="12">
      <c r="A130" s="14" t="n"/>
      <c r="B130" s="14" t="n"/>
      <c r="C130" s="16" t="n"/>
      <c r="D130" s="14" t="n"/>
      <c r="E130" s="14" t="n"/>
      <c r="F130" s="16" t="n"/>
    </row>
    <row r="131" ht="15" customHeight="1" s="12">
      <c r="A131" s="14" t="n"/>
      <c r="B131" s="14" t="n"/>
      <c r="C131" s="16" t="n"/>
      <c r="D131" s="14" t="n"/>
      <c r="E131" s="14" t="n"/>
      <c r="F131" s="16" t="n"/>
    </row>
    <row r="132" ht="15" customHeight="1" s="12">
      <c r="A132" s="14" t="n"/>
      <c r="B132" s="14" t="n"/>
      <c r="C132" s="16" t="n"/>
      <c r="D132" s="14" t="n"/>
      <c r="E132" s="14" t="n"/>
      <c r="F132" s="16" t="n"/>
    </row>
    <row r="133" ht="15" customHeight="1" s="12">
      <c r="A133" s="14" t="n"/>
      <c r="B133" s="14" t="n"/>
      <c r="C133" s="16" t="n"/>
      <c r="D133" s="14" t="n"/>
      <c r="E133" s="14" t="n"/>
      <c r="F133" s="16" t="n"/>
    </row>
    <row r="134" ht="15" customHeight="1" s="12">
      <c r="A134" s="14" t="n"/>
      <c r="B134" s="14" t="n"/>
      <c r="C134" s="16" t="n"/>
      <c r="D134" s="14" t="n"/>
      <c r="E134" s="14" t="n"/>
      <c r="F134" s="16" t="n"/>
    </row>
    <row r="135" ht="15" customHeight="1" s="12">
      <c r="A135" s="14" t="n"/>
      <c r="B135" s="14" t="n"/>
      <c r="C135" s="16" t="n"/>
      <c r="D135" s="14" t="n"/>
      <c r="E135" s="14" t="n"/>
      <c r="F135" s="16" t="n"/>
    </row>
    <row r="136" ht="15" customHeight="1" s="12">
      <c r="A136" s="14" t="n"/>
      <c r="B136" s="14" t="n"/>
      <c r="C136" s="16" t="n"/>
      <c r="D136" s="14" t="n"/>
      <c r="E136" s="14" t="n"/>
      <c r="F136" s="16" t="n"/>
    </row>
    <row r="137" ht="15" customHeight="1" s="12">
      <c r="A137" s="14" t="n"/>
      <c r="B137" s="14" t="n"/>
      <c r="C137" s="16" t="n"/>
      <c r="D137" s="14" t="n"/>
      <c r="E137" s="14" t="n"/>
      <c r="F137" s="16" t="n"/>
    </row>
    <row r="138" ht="15" customHeight="1" s="12">
      <c r="A138" s="14" t="n"/>
      <c r="B138" s="14" t="n"/>
      <c r="C138" s="16" t="n"/>
      <c r="D138" s="14" t="n"/>
      <c r="E138" s="14" t="n"/>
      <c r="F138" s="16" t="n"/>
    </row>
    <row r="139" ht="15" customHeight="1" s="12">
      <c r="A139" s="14" t="n"/>
      <c r="B139" s="14" t="n"/>
      <c r="C139" s="16" t="n"/>
      <c r="D139" s="14" t="n"/>
      <c r="E139" s="14" t="n"/>
      <c r="F139" s="16" t="n"/>
    </row>
    <row r="140" ht="15" customHeight="1" s="12">
      <c r="A140" s="14" t="n"/>
      <c r="B140" s="14" t="n"/>
      <c r="C140" s="16" t="n"/>
      <c r="D140" s="14" t="n"/>
      <c r="E140" s="14" t="n"/>
      <c r="F140" s="16" t="n"/>
    </row>
    <row r="141" ht="15" customHeight="1" s="12">
      <c r="A141" s="14" t="n"/>
      <c r="B141" s="14" t="n"/>
      <c r="C141" s="16" t="n"/>
      <c r="D141" s="14" t="n"/>
      <c r="E141" s="14" t="n"/>
      <c r="F141" s="16" t="n"/>
    </row>
    <row r="142" ht="15" customHeight="1" s="12">
      <c r="A142" s="14" t="n"/>
      <c r="B142" s="14" t="n"/>
      <c r="C142" s="16" t="n"/>
      <c r="D142" s="14" t="n"/>
      <c r="E142" s="14" t="n"/>
      <c r="F142" s="16" t="n"/>
    </row>
    <row r="143" ht="15" customHeight="1" s="12">
      <c r="A143" s="14" t="n"/>
      <c r="B143" s="14" t="n"/>
      <c r="C143" s="16" t="n"/>
      <c r="D143" s="14" t="n"/>
      <c r="E143" s="14" t="n"/>
      <c r="F143" s="16" t="n"/>
    </row>
    <row r="144" ht="15" customHeight="1" s="12">
      <c r="A144" s="14" t="n"/>
      <c r="B144" s="14" t="n"/>
      <c r="C144" s="16" t="n"/>
      <c r="D144" s="14" t="n"/>
      <c r="E144" s="14" t="n"/>
      <c r="F144" s="16" t="n"/>
    </row>
    <row r="145" ht="15" customHeight="1" s="12">
      <c r="A145" s="14" t="n"/>
      <c r="B145" s="14" t="n"/>
      <c r="C145" s="16" t="n"/>
      <c r="D145" s="14" t="n"/>
      <c r="E145" s="14" t="n"/>
      <c r="F145" s="16" t="n"/>
    </row>
    <row r="146" ht="15" customHeight="1" s="12">
      <c r="A146" s="14" t="n"/>
      <c r="B146" s="14" t="n"/>
      <c r="C146" s="16" t="n"/>
      <c r="D146" s="14" t="n"/>
      <c r="E146" s="14" t="n"/>
      <c r="F146" s="16" t="n"/>
    </row>
    <row r="147" ht="15" customHeight="1" s="12">
      <c r="A147" s="14" t="n"/>
      <c r="B147" s="14" t="n"/>
      <c r="C147" s="16" t="n"/>
      <c r="D147" s="14" t="n"/>
      <c r="E147" s="14" t="n"/>
      <c r="F147" s="16" t="n"/>
    </row>
    <row r="148" ht="15" customHeight="1" s="12">
      <c r="A148" s="14" t="n"/>
      <c r="B148" s="14" t="n"/>
      <c r="C148" s="16" t="n"/>
      <c r="D148" s="14" t="n"/>
      <c r="E148" s="14" t="n"/>
      <c r="F148" s="16" t="n"/>
    </row>
    <row r="149" ht="15" customHeight="1" s="12">
      <c r="A149" s="14" t="n"/>
      <c r="B149" s="14" t="n"/>
      <c r="C149" s="16" t="n"/>
      <c r="D149" s="14" t="n"/>
      <c r="E149" s="14" t="n"/>
      <c r="F149" s="16" t="n"/>
    </row>
    <row r="150" ht="15" customHeight="1" s="12">
      <c r="A150" s="14" t="n"/>
      <c r="B150" s="14" t="n"/>
      <c r="C150" s="16" t="n"/>
      <c r="D150" s="14" t="n"/>
      <c r="E150" s="14" t="n"/>
      <c r="F150" s="16" t="n"/>
    </row>
    <row r="151" ht="15" customHeight="1" s="12">
      <c r="A151" s="14" t="n"/>
      <c r="B151" s="14" t="n"/>
      <c r="C151" s="16" t="n"/>
      <c r="D151" s="14" t="n"/>
      <c r="E151" s="14" t="n"/>
      <c r="F151" s="16" t="n"/>
    </row>
    <row r="152" ht="15" customHeight="1" s="12">
      <c r="A152" s="14" t="n"/>
      <c r="B152" s="14" t="n"/>
      <c r="C152" s="16" t="n"/>
      <c r="D152" s="14" t="n"/>
      <c r="E152" s="14" t="n"/>
      <c r="F152" s="16" t="n"/>
    </row>
    <row r="153" ht="15" customHeight="1" s="12">
      <c r="A153" s="14" t="n"/>
      <c r="B153" s="14" t="n"/>
      <c r="C153" s="16" t="n"/>
      <c r="D153" s="14" t="n"/>
      <c r="E153" s="14" t="n"/>
      <c r="F153" s="16" t="n"/>
    </row>
    <row r="154" ht="15" customHeight="1" s="12">
      <c r="A154" s="14" t="n"/>
      <c r="B154" s="14" t="n"/>
      <c r="C154" s="16" t="n"/>
      <c r="D154" s="14" t="n"/>
      <c r="E154" s="14" t="n"/>
      <c r="F154" s="16" t="n"/>
    </row>
    <row r="155" ht="15" customHeight="1" s="12">
      <c r="A155" s="14" t="n"/>
      <c r="B155" s="14" t="n"/>
      <c r="C155" s="16" t="n"/>
      <c r="D155" s="14" t="n"/>
      <c r="E155" s="14" t="n"/>
      <c r="F155" s="16" t="n"/>
    </row>
    <row r="156" ht="15" customHeight="1" s="12">
      <c r="A156" s="14" t="n"/>
      <c r="B156" s="14" t="n"/>
      <c r="C156" s="16" t="n"/>
      <c r="D156" s="14" t="n"/>
      <c r="E156" s="14" t="n"/>
      <c r="F156" s="16" t="n"/>
    </row>
    <row r="157" ht="15" customHeight="1" s="12">
      <c r="A157" s="14" t="n"/>
      <c r="B157" s="14" t="n"/>
      <c r="C157" s="16" t="n"/>
      <c r="D157" s="14" t="n"/>
      <c r="E157" s="14" t="n"/>
      <c r="F157" s="16" t="n"/>
    </row>
    <row r="158" ht="15" customHeight="1" s="12">
      <c r="A158" s="14" t="n"/>
      <c r="B158" s="14" t="n"/>
      <c r="C158" s="16" t="n"/>
      <c r="D158" s="14" t="n"/>
      <c r="E158" s="14" t="n"/>
      <c r="F158" s="16" t="n"/>
    </row>
    <row r="159" ht="15" customHeight="1" s="12">
      <c r="A159" s="14" t="n"/>
      <c r="B159" s="14" t="n"/>
      <c r="C159" s="16" t="n"/>
      <c r="D159" s="14" t="n"/>
      <c r="E159" s="14" t="n"/>
      <c r="F159" s="16" t="n"/>
    </row>
    <row r="160" ht="15" customHeight="1" s="12">
      <c r="A160" s="14" t="n"/>
      <c r="B160" s="14" t="n"/>
      <c r="C160" s="16" t="n"/>
      <c r="D160" s="14" t="n"/>
      <c r="E160" s="14" t="n"/>
      <c r="F160" s="16" t="n"/>
    </row>
    <row r="161" ht="15" customHeight="1" s="12">
      <c r="A161" s="14" t="n"/>
      <c r="B161" s="14" t="n"/>
      <c r="C161" s="16" t="n"/>
      <c r="D161" s="14" t="n"/>
      <c r="E161" s="14" t="n"/>
      <c r="F161" s="16" t="n"/>
    </row>
    <row r="162" ht="15" customHeight="1" s="12">
      <c r="A162" s="14" t="n"/>
      <c r="B162" s="14" t="n"/>
      <c r="C162" s="16" t="n"/>
      <c r="D162" s="14" t="n"/>
      <c r="E162" s="14" t="n"/>
      <c r="F162" s="16" t="n"/>
    </row>
    <row r="163" ht="15" customHeight="1" s="12">
      <c r="A163" s="14" t="n"/>
      <c r="B163" s="14" t="n"/>
      <c r="C163" s="16" t="n"/>
      <c r="D163" s="14" t="n"/>
      <c r="E163" s="14" t="n"/>
      <c r="F163" s="16" t="n"/>
    </row>
    <row r="164" ht="15" customHeight="1" s="12">
      <c r="A164" s="14" t="n"/>
      <c r="B164" s="14" t="n"/>
      <c r="C164" s="16" t="n"/>
      <c r="D164" s="14" t="n"/>
      <c r="E164" s="14" t="n"/>
      <c r="F164" s="16" t="n"/>
    </row>
    <row r="165" ht="15" customHeight="1" s="12">
      <c r="A165" s="14" t="n"/>
      <c r="B165" s="14" t="n"/>
      <c r="C165" s="16" t="n"/>
      <c r="D165" s="14" t="n"/>
      <c r="E165" s="14" t="n"/>
      <c r="F165" s="16" t="n"/>
    </row>
    <row r="166" ht="15" customHeight="1" s="12">
      <c r="A166" s="14" t="n"/>
      <c r="B166" s="14" t="n"/>
      <c r="C166" s="16" t="n"/>
      <c r="D166" s="14" t="n"/>
      <c r="E166" s="14" t="n"/>
      <c r="F166" s="16" t="n"/>
    </row>
    <row r="167" ht="15" customHeight="1" s="12">
      <c r="A167" s="14" t="n"/>
      <c r="B167" s="14" t="n"/>
      <c r="C167" s="16" t="n"/>
      <c r="D167" s="14" t="n"/>
      <c r="E167" s="14" t="n"/>
      <c r="F167" s="16" t="n"/>
    </row>
    <row r="168" ht="15" customHeight="1" s="12">
      <c r="A168" s="14" t="n"/>
      <c r="B168" s="14" t="n"/>
      <c r="C168" s="16" t="n"/>
      <c r="D168" s="14" t="n"/>
      <c r="E168" s="14" t="n"/>
      <c r="F168" s="16" t="n"/>
    </row>
    <row r="169" ht="15" customHeight="1" s="12">
      <c r="A169" s="14" t="n"/>
      <c r="B169" s="14" t="n"/>
      <c r="C169" s="16" t="n"/>
      <c r="D169" s="14" t="n"/>
      <c r="E169" s="14" t="n"/>
      <c r="F169" s="16" t="n"/>
    </row>
    <row r="170" ht="15" customHeight="1" s="12">
      <c r="A170" s="14" t="n"/>
      <c r="B170" s="14" t="n"/>
      <c r="C170" s="16" t="n"/>
      <c r="D170" s="14" t="n"/>
      <c r="E170" s="14" t="n"/>
      <c r="F170" s="16" t="n"/>
    </row>
    <row r="171" ht="15" customHeight="1" s="12">
      <c r="A171" s="14" t="n"/>
      <c r="B171" s="14" t="n"/>
      <c r="C171" s="16" t="n"/>
      <c r="D171" s="14" t="n"/>
      <c r="E171" s="14" t="n"/>
      <c r="F171" s="16" t="n"/>
    </row>
    <row r="172" ht="15" customHeight="1" s="12">
      <c r="A172" s="14" t="n"/>
      <c r="B172" s="14" t="n"/>
      <c r="C172" s="16" t="n"/>
      <c r="D172" s="14" t="n"/>
      <c r="E172" s="14" t="n"/>
      <c r="F172" s="16" t="n"/>
    </row>
    <row r="173" ht="15" customHeight="1" s="12">
      <c r="A173" s="14" t="n"/>
      <c r="B173" s="14" t="n"/>
      <c r="C173" s="16" t="n"/>
      <c r="D173" s="14" t="n"/>
      <c r="E173" s="14" t="n"/>
      <c r="F173" s="16" t="n"/>
    </row>
    <row r="174" ht="15" customHeight="1" s="12">
      <c r="A174" s="14" t="n"/>
      <c r="B174" s="14" t="n"/>
      <c r="C174" s="16" t="n"/>
      <c r="D174" s="14" t="n"/>
      <c r="E174" s="14" t="n"/>
      <c r="F174" s="16" t="n"/>
    </row>
    <row r="175" ht="15" customHeight="1" s="12">
      <c r="A175" s="14" t="n"/>
      <c r="B175" s="14" t="n"/>
      <c r="C175" s="16" t="n"/>
      <c r="D175" s="14" t="n"/>
      <c r="E175" s="14" t="n"/>
      <c r="F175" s="16" t="n"/>
    </row>
    <row r="176" ht="15" customHeight="1" s="12">
      <c r="A176" s="14" t="n"/>
      <c r="B176" s="14" t="n"/>
      <c r="C176" s="16" t="n"/>
      <c r="D176" s="14" t="n"/>
      <c r="E176" s="14" t="n"/>
      <c r="F176" s="16" t="n"/>
    </row>
    <row r="177" ht="15" customHeight="1" s="12">
      <c r="A177" s="14" t="n"/>
      <c r="B177" s="14" t="n"/>
      <c r="C177" s="16" t="n"/>
      <c r="D177" s="14" t="n"/>
      <c r="E177" s="14" t="n"/>
      <c r="F177" s="16" t="n"/>
    </row>
    <row r="178" ht="15" customHeight="1" s="12">
      <c r="A178" s="14" t="n"/>
      <c r="B178" s="14" t="n"/>
      <c r="C178" s="16" t="n"/>
      <c r="D178" s="14" t="n"/>
      <c r="E178" s="14" t="n"/>
      <c r="F178" s="16" t="n"/>
    </row>
    <row r="179" ht="15" customHeight="1" s="12">
      <c r="A179" s="14" t="n"/>
      <c r="B179" s="14" t="n"/>
      <c r="C179" s="16" t="n"/>
      <c r="D179" s="14" t="n"/>
      <c r="E179" s="14" t="n"/>
      <c r="F179" s="16" t="n"/>
    </row>
    <row r="180" ht="15" customHeight="1" s="12">
      <c r="A180" s="14" t="n"/>
      <c r="B180" s="14" t="n"/>
      <c r="C180" s="16" t="n"/>
      <c r="D180" s="14" t="n"/>
      <c r="E180" s="14" t="n"/>
      <c r="F180" s="16" t="n"/>
    </row>
    <row r="181" ht="15" customHeight="1" s="12">
      <c r="A181" s="14" t="n"/>
      <c r="B181" s="14" t="n"/>
      <c r="C181" s="16" t="n"/>
      <c r="D181" s="14" t="n"/>
      <c r="E181" s="14" t="n"/>
      <c r="F181" s="16" t="n"/>
    </row>
    <row r="182" ht="15" customHeight="1" s="12">
      <c r="A182" s="14" t="n"/>
      <c r="B182" s="14" t="n"/>
      <c r="C182" s="16" t="n"/>
      <c r="D182" s="14" t="n"/>
      <c r="E182" s="14" t="n"/>
      <c r="F182" s="16" t="n"/>
    </row>
    <row r="183" ht="15" customHeight="1" s="12">
      <c r="A183" s="14" t="n"/>
      <c r="B183" s="14" t="n"/>
      <c r="C183" s="16" t="n"/>
      <c r="D183" s="14" t="n"/>
      <c r="E183" s="14" t="n"/>
      <c r="F183" s="16" t="n"/>
    </row>
    <row r="184" ht="15" customHeight="1" s="12">
      <c r="A184" s="14" t="n"/>
      <c r="B184" s="14" t="n"/>
      <c r="C184" s="16" t="n"/>
      <c r="D184" s="14" t="n"/>
      <c r="E184" s="14" t="n"/>
      <c r="F184" s="16" t="n"/>
    </row>
    <row r="185" ht="15" customHeight="1" s="12">
      <c r="A185" s="14" t="n"/>
      <c r="B185" s="14" t="n"/>
      <c r="C185" s="16" t="n"/>
      <c r="D185" s="14" t="n"/>
      <c r="E185" s="14" t="n"/>
      <c r="F185" s="16" t="n"/>
    </row>
    <row r="186" ht="15" customHeight="1" s="12">
      <c r="A186" s="14" t="n"/>
      <c r="B186" s="14" t="n"/>
      <c r="C186" s="16" t="n"/>
      <c r="D186" s="14" t="n"/>
      <c r="E186" s="14" t="n"/>
      <c r="F186" s="16" t="n"/>
    </row>
    <row r="187" ht="15" customHeight="1" s="12">
      <c r="A187" s="14" t="n"/>
      <c r="B187" s="14" t="n"/>
      <c r="C187" s="16" t="n"/>
      <c r="D187" s="14" t="n"/>
      <c r="E187" s="14" t="n"/>
      <c r="F187" s="16" t="n"/>
    </row>
    <row r="188" ht="15" customHeight="1" s="12">
      <c r="A188" s="14" t="n"/>
      <c r="B188" s="14" t="n"/>
      <c r="C188" s="16" t="n"/>
      <c r="D188" s="14" t="n"/>
      <c r="E188" s="14" t="n"/>
      <c r="F188" s="16" t="n"/>
    </row>
    <row r="189" ht="15" customHeight="1" s="12">
      <c r="A189" s="14" t="n"/>
      <c r="B189" s="14" t="n"/>
      <c r="C189" s="16" t="n"/>
      <c r="D189" s="14" t="n"/>
      <c r="E189" s="14" t="n"/>
      <c r="F189" s="16" t="n"/>
    </row>
    <row r="190" ht="15" customHeight="1" s="12">
      <c r="A190" s="14" t="n"/>
      <c r="B190" s="14" t="n"/>
      <c r="C190" s="16" t="n"/>
      <c r="D190" s="14" t="n"/>
      <c r="E190" s="14" t="n"/>
      <c r="F190" s="16" t="n"/>
    </row>
    <row r="191" ht="15" customHeight="1" s="12">
      <c r="A191" s="14" t="n"/>
      <c r="B191" s="14" t="n"/>
      <c r="C191" s="16" t="n"/>
      <c r="D191" s="14" t="n"/>
      <c r="E191" s="14" t="n"/>
      <c r="F191" s="16" t="n"/>
    </row>
    <row r="192" ht="15" customHeight="1" s="12">
      <c r="A192" s="14" t="n"/>
      <c r="B192" s="14" t="n"/>
      <c r="C192" s="16" t="n"/>
      <c r="D192" s="14" t="n"/>
      <c r="E192" s="14" t="n"/>
      <c r="F192" s="16" t="n"/>
    </row>
    <row r="193" ht="15" customHeight="1" s="12">
      <c r="A193" s="14" t="n"/>
      <c r="B193" s="14" t="n"/>
      <c r="C193" s="16" t="n"/>
      <c r="D193" s="14" t="n"/>
      <c r="E193" s="14" t="n"/>
      <c r="F193" s="16" t="n"/>
    </row>
    <row r="194" ht="15" customHeight="1" s="12">
      <c r="A194" s="14" t="n"/>
      <c r="B194" s="14" t="n"/>
      <c r="C194" s="16" t="n"/>
      <c r="D194" s="14" t="n"/>
      <c r="E194" s="14" t="n"/>
      <c r="F194" s="16" t="n"/>
    </row>
    <row r="195" ht="15" customHeight="1" s="12">
      <c r="A195" s="14" t="n"/>
      <c r="B195" s="14" t="n"/>
      <c r="C195" s="16" t="n"/>
      <c r="D195" s="14" t="n"/>
      <c r="E195" s="14" t="n"/>
      <c r="F195" s="16" t="n"/>
    </row>
    <row r="196" ht="15" customHeight="1" s="12">
      <c r="A196" s="14" t="n"/>
      <c r="B196" s="14" t="n"/>
      <c r="C196" s="16" t="n"/>
      <c r="D196" s="14" t="n"/>
      <c r="E196" s="14" t="n"/>
      <c r="F196" s="16" t="n"/>
    </row>
    <row r="197" ht="15" customHeight="1" s="12">
      <c r="A197" s="14" t="n"/>
      <c r="B197" s="14" t="n"/>
      <c r="C197" s="16" t="n"/>
      <c r="D197" s="14" t="n"/>
      <c r="E197" s="14" t="n"/>
      <c r="F197" s="16" t="n"/>
    </row>
    <row r="198" ht="15" customHeight="1" s="12">
      <c r="A198" s="14" t="n"/>
      <c r="B198" s="14" t="n"/>
      <c r="C198" s="16" t="n"/>
      <c r="D198" s="14" t="n"/>
      <c r="E198" s="14" t="n"/>
      <c r="F198" s="16" t="n"/>
    </row>
    <row r="199" ht="15" customHeight="1" s="12">
      <c r="A199" s="14" t="n"/>
      <c r="B199" s="14" t="n"/>
      <c r="C199" s="16" t="n"/>
      <c r="D199" s="14" t="n"/>
      <c r="E199" s="14" t="n"/>
      <c r="F199" s="1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999"/>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1" min="1" max="1"/>
    <col width="12" customWidth="1" style="11" min="2" max="2"/>
    <col width="14" customWidth="1" style="11" min="3" max="3"/>
    <col width="12" customWidth="1" style="11" min="4" max="4"/>
    <col width="16" customWidth="1" style="11" min="5" max="5"/>
  </cols>
  <sheetData>
    <row r="1" ht="15" customHeight="1" s="12">
      <c r="A1" s="13" t="inlineStr">
        <is>
          <t>التاريخ</t>
        </is>
      </c>
      <c r="B1" s="13" t="inlineStr">
        <is>
          <t>رقم الشقة</t>
        </is>
      </c>
      <c r="C1" s="13" t="inlineStr">
        <is>
          <t>كود البند</t>
        </is>
      </c>
      <c r="D1" s="13" t="inlineStr">
        <is>
          <t>المبلغ</t>
        </is>
      </c>
      <c r="E1" s="13" t="inlineStr">
        <is>
          <t>النوع (تلقائي)</t>
        </is>
      </c>
    </row>
    <row r="2" ht="15" customHeight="1" s="12">
      <c r="A2" s="16" t="n">
        <v>46314</v>
      </c>
      <c r="B2" s="14" t="n">
        <v>1</v>
      </c>
      <c r="C2" s="14" t="inlineStr">
        <is>
          <t>P1</t>
        </is>
      </c>
      <c r="D2" s="14" t="n">
        <v>500</v>
      </c>
      <c r="E2" s="17">
        <f>IFERROR(VLOOKUP(C2,Items!A:E,5,0),"")</f>
        <v/>
      </c>
    </row>
    <row r="3" ht="15" customHeight="1" s="12">
      <c r="A3" s="16" t="n"/>
      <c r="B3" s="14" t="n"/>
      <c r="C3" s="14" t="n"/>
      <c r="D3" s="14" t="n"/>
      <c r="E3" s="17">
        <f>IFERROR(VLOOKUP(C3,Items!A:E,5,0),"")</f>
        <v/>
      </c>
    </row>
    <row r="4" ht="15" customHeight="1" s="12">
      <c r="A4" s="16" t="n"/>
      <c r="B4" s="14" t="n"/>
      <c r="C4" s="14" t="n"/>
      <c r="D4" s="14" t="n"/>
      <c r="E4" s="17">
        <f>IFERROR(VLOOKUP(C4,Items!A:E,5,0),"")</f>
        <v/>
      </c>
    </row>
    <row r="5" ht="15" customHeight="1" s="12">
      <c r="A5" s="16" t="n"/>
      <c r="B5" s="14" t="n"/>
      <c r="C5" s="14" t="n"/>
      <c r="D5" s="14" t="n"/>
      <c r="E5" s="17">
        <f>IFERROR(VLOOKUP(C5,Items!A:E,5,0),"")</f>
        <v/>
      </c>
    </row>
    <row r="6" ht="15" customHeight="1" s="12">
      <c r="A6" s="16" t="n"/>
      <c r="B6" s="14" t="n"/>
      <c r="C6" s="14" t="n"/>
      <c r="D6" s="14" t="n"/>
      <c r="E6" s="17">
        <f>IFERROR(VLOOKUP(C6,Items!A:E,5,0),"")</f>
        <v/>
      </c>
    </row>
    <row r="7" ht="15" customHeight="1" s="12">
      <c r="A7" s="16" t="n"/>
      <c r="B7" s="14" t="n"/>
      <c r="C7" s="14" t="n"/>
      <c r="D7" s="14" t="n"/>
      <c r="E7" s="17">
        <f>IFERROR(VLOOKUP(C7,Items!A:E,5,0),"")</f>
        <v/>
      </c>
    </row>
    <row r="8" ht="15" customHeight="1" s="12">
      <c r="A8" s="16" t="n"/>
      <c r="B8" s="14" t="n"/>
      <c r="C8" s="14" t="n"/>
      <c r="D8" s="14" t="n"/>
      <c r="E8" s="17">
        <f>IFERROR(VLOOKUP(C8,Items!A:E,5,0),"")</f>
        <v/>
      </c>
    </row>
    <row r="9" ht="15" customHeight="1" s="12">
      <c r="A9" s="16" t="n"/>
      <c r="B9" s="14" t="n"/>
      <c r="C9" s="14" t="n"/>
      <c r="D9" s="14" t="n"/>
      <c r="E9" s="17">
        <f>IFERROR(VLOOKUP(C9,Items!A:E,5,0),"")</f>
        <v/>
      </c>
    </row>
    <row r="10" ht="15" customHeight="1" s="12">
      <c r="A10" s="16" t="n"/>
      <c r="B10" s="14" t="n"/>
      <c r="C10" s="14" t="n"/>
      <c r="D10" s="14" t="n"/>
      <c r="E10" s="17">
        <f>IFERROR(VLOOKUP(C10,Items!A:E,5,0),"")</f>
        <v/>
      </c>
    </row>
    <row r="11" ht="15" customHeight="1" s="12">
      <c r="A11" s="16" t="n"/>
      <c r="B11" s="14" t="n"/>
      <c r="C11" s="14" t="n"/>
      <c r="D11" s="14" t="n"/>
      <c r="E11" s="17">
        <f>IFERROR(VLOOKUP(C11,Items!A:E,5,0),"")</f>
        <v/>
      </c>
    </row>
    <row r="12" ht="15" customHeight="1" s="12">
      <c r="A12" s="16" t="n"/>
      <c r="B12" s="14" t="n"/>
      <c r="C12" s="14" t="n"/>
      <c r="D12" s="14" t="n"/>
      <c r="E12" s="17">
        <f>IFERROR(VLOOKUP(C12,Items!A:E,5,0),"")</f>
        <v/>
      </c>
    </row>
    <row r="13" ht="15" customHeight="1" s="12">
      <c r="A13" s="16" t="n"/>
      <c r="B13" s="14" t="n"/>
      <c r="C13" s="14" t="n"/>
      <c r="D13" s="14" t="n"/>
      <c r="E13" s="17">
        <f>IFERROR(VLOOKUP(C13,Items!A:E,5,0),"")</f>
        <v/>
      </c>
    </row>
    <row r="14" ht="15" customHeight="1" s="12">
      <c r="A14" s="16" t="n"/>
      <c r="B14" s="14" t="n"/>
      <c r="C14" s="14" t="n"/>
      <c r="D14" s="14" t="n"/>
      <c r="E14" s="17">
        <f>IFERROR(VLOOKUP(C14,Items!A:E,5,0),"")</f>
        <v/>
      </c>
    </row>
    <row r="15" ht="15" customHeight="1" s="12">
      <c r="A15" s="16" t="n"/>
      <c r="B15" s="14" t="n"/>
      <c r="C15" s="14" t="n"/>
      <c r="D15" s="14" t="n"/>
      <c r="E15" s="17">
        <f>IFERROR(VLOOKUP(C15,Items!A:E,5,0),"")</f>
        <v/>
      </c>
    </row>
    <row r="16" ht="15" customHeight="1" s="12">
      <c r="A16" s="16" t="n"/>
      <c r="B16" s="14" t="n"/>
      <c r="C16" s="14" t="n"/>
      <c r="D16" s="14" t="n"/>
      <c r="E16" s="17">
        <f>IFERROR(VLOOKUP(C16,Items!A:E,5,0),"")</f>
        <v/>
      </c>
    </row>
    <row r="17" ht="15" customHeight="1" s="12">
      <c r="A17" s="16" t="n"/>
      <c r="B17" s="14" t="n"/>
      <c r="C17" s="14" t="n"/>
      <c r="D17" s="14" t="n"/>
      <c r="E17" s="17">
        <f>IFERROR(VLOOKUP(C17,Items!A:E,5,0),"")</f>
        <v/>
      </c>
    </row>
    <row r="18" ht="15" customHeight="1" s="12">
      <c r="A18" s="16" t="n"/>
      <c r="B18" s="14" t="n"/>
      <c r="C18" s="14" t="n"/>
      <c r="D18" s="14" t="n"/>
      <c r="E18" s="17">
        <f>IFERROR(VLOOKUP(C18,Items!A:E,5,0),"")</f>
        <v/>
      </c>
    </row>
    <row r="19" ht="15" customHeight="1" s="12">
      <c r="A19" s="16" t="n"/>
      <c r="B19" s="14" t="n"/>
      <c r="C19" s="14" t="n"/>
      <c r="D19" s="14" t="n"/>
      <c r="E19" s="17">
        <f>IFERROR(VLOOKUP(C19,Items!A:E,5,0),"")</f>
        <v/>
      </c>
    </row>
    <row r="20" ht="15" customHeight="1" s="12">
      <c r="A20" s="16" t="n"/>
      <c r="B20" s="14" t="n"/>
      <c r="C20" s="14" t="n"/>
      <c r="D20" s="14" t="n"/>
      <c r="E20" s="17">
        <f>IFERROR(VLOOKUP(C20,Items!A:E,5,0),"")</f>
        <v/>
      </c>
    </row>
    <row r="21" ht="15" customHeight="1" s="12">
      <c r="A21" s="16" t="n"/>
      <c r="B21" s="14" t="n"/>
      <c r="C21" s="14" t="n"/>
      <c r="D21" s="14" t="n"/>
      <c r="E21" s="17">
        <f>IFERROR(VLOOKUP(C21,Items!A:E,5,0),"")</f>
        <v/>
      </c>
    </row>
    <row r="22" ht="15" customHeight="1" s="12">
      <c r="A22" s="16" t="n"/>
      <c r="B22" s="14" t="n"/>
      <c r="C22" s="14" t="n"/>
      <c r="D22" s="14" t="n"/>
      <c r="E22" s="17">
        <f>IFERROR(VLOOKUP(C22,Items!A:E,5,0),"")</f>
        <v/>
      </c>
    </row>
    <row r="23" ht="15" customHeight="1" s="12">
      <c r="A23" s="16" t="n"/>
      <c r="B23" s="14" t="n"/>
      <c r="C23" s="14" t="n"/>
      <c r="D23" s="14" t="n"/>
      <c r="E23" s="17">
        <f>IFERROR(VLOOKUP(C23,Items!A:E,5,0),"")</f>
        <v/>
      </c>
    </row>
    <row r="24" ht="15" customHeight="1" s="12">
      <c r="A24" s="16" t="n"/>
      <c r="B24" s="14" t="n"/>
      <c r="C24" s="14" t="n"/>
      <c r="D24" s="14" t="n"/>
      <c r="E24" s="17">
        <f>IFERROR(VLOOKUP(C24,Items!A:E,5,0),"")</f>
        <v/>
      </c>
    </row>
    <row r="25" ht="15" customHeight="1" s="12">
      <c r="A25" s="16" t="n"/>
      <c r="B25" s="14" t="n"/>
      <c r="C25" s="14" t="n"/>
      <c r="D25" s="14" t="n"/>
      <c r="E25" s="17">
        <f>IFERROR(VLOOKUP(C25,Items!A:E,5,0),"")</f>
        <v/>
      </c>
    </row>
    <row r="26" ht="15" customHeight="1" s="12">
      <c r="A26" s="16" t="n"/>
      <c r="B26" s="14" t="n"/>
      <c r="C26" s="14" t="n"/>
      <c r="D26" s="14" t="n"/>
      <c r="E26" s="17">
        <f>IFERROR(VLOOKUP(C26,Items!A:E,5,0),"")</f>
        <v/>
      </c>
    </row>
    <row r="27" ht="15" customHeight="1" s="12">
      <c r="A27" s="16" t="n"/>
      <c r="B27" s="14" t="n"/>
      <c r="C27" s="14" t="n"/>
      <c r="D27" s="14" t="n"/>
      <c r="E27" s="17">
        <f>IFERROR(VLOOKUP(C27,Items!A:E,5,0),"")</f>
        <v/>
      </c>
    </row>
    <row r="28" ht="15" customHeight="1" s="12">
      <c r="A28" s="16" t="n"/>
      <c r="B28" s="14" t="n"/>
      <c r="C28" s="14" t="n"/>
      <c r="D28" s="14" t="n"/>
      <c r="E28" s="17">
        <f>IFERROR(VLOOKUP(C28,Items!A:E,5,0),"")</f>
        <v/>
      </c>
    </row>
    <row r="29" ht="15" customHeight="1" s="12">
      <c r="A29" s="16" t="n"/>
      <c r="B29" s="14" t="n"/>
      <c r="C29" s="14" t="n"/>
      <c r="D29" s="14" t="n"/>
      <c r="E29" s="17">
        <f>IFERROR(VLOOKUP(C29,Items!A:E,5,0),"")</f>
        <v/>
      </c>
    </row>
    <row r="30" ht="15" customHeight="1" s="12">
      <c r="A30" s="16" t="n"/>
      <c r="B30" s="14" t="n"/>
      <c r="C30" s="14" t="n"/>
      <c r="D30" s="14" t="n"/>
      <c r="E30" s="17">
        <f>IFERROR(VLOOKUP(C30,Items!A:E,5,0),"")</f>
        <v/>
      </c>
    </row>
    <row r="31" ht="15" customHeight="1" s="12">
      <c r="A31" s="16" t="n"/>
      <c r="B31" s="14" t="n"/>
      <c r="C31" s="14" t="n"/>
      <c r="D31" s="14" t="n"/>
      <c r="E31" s="17">
        <f>IFERROR(VLOOKUP(C31,Items!A:E,5,0),"")</f>
        <v/>
      </c>
    </row>
    <row r="32" ht="15" customHeight="1" s="12">
      <c r="A32" s="16" t="n"/>
      <c r="B32" s="14" t="n"/>
      <c r="C32" s="14" t="n"/>
      <c r="D32" s="14" t="n"/>
      <c r="E32" s="17">
        <f>IFERROR(VLOOKUP(C32,Items!A:E,5,0),"")</f>
        <v/>
      </c>
    </row>
    <row r="33" ht="15" customHeight="1" s="12">
      <c r="A33" s="16" t="n"/>
      <c r="B33" s="14" t="n"/>
      <c r="C33" s="14" t="n"/>
      <c r="D33" s="14" t="n"/>
      <c r="E33" s="17">
        <f>IFERROR(VLOOKUP(C33,Items!A:E,5,0),"")</f>
        <v/>
      </c>
    </row>
    <row r="34" ht="15" customHeight="1" s="12">
      <c r="A34" s="16" t="n"/>
      <c r="B34" s="14" t="n"/>
      <c r="C34" s="14" t="n"/>
      <c r="D34" s="14" t="n"/>
      <c r="E34" s="17">
        <f>IFERROR(VLOOKUP(C34,Items!A:E,5,0),"")</f>
        <v/>
      </c>
    </row>
    <row r="35" ht="15" customHeight="1" s="12">
      <c r="A35" s="16" t="n"/>
      <c r="B35" s="14" t="n"/>
      <c r="C35" s="14" t="n"/>
      <c r="D35" s="14" t="n"/>
      <c r="E35" s="17">
        <f>IFERROR(VLOOKUP(C35,Items!A:E,5,0),"")</f>
        <v/>
      </c>
    </row>
    <row r="36" ht="15" customHeight="1" s="12">
      <c r="A36" s="16" t="n"/>
      <c r="B36" s="14" t="n"/>
      <c r="C36" s="14" t="n"/>
      <c r="D36" s="14" t="n"/>
      <c r="E36" s="17">
        <f>IFERROR(VLOOKUP(C36,Items!A:E,5,0),"")</f>
        <v/>
      </c>
    </row>
    <row r="37" ht="15" customHeight="1" s="12">
      <c r="A37" s="16" t="n"/>
      <c r="B37" s="14" t="n"/>
      <c r="C37" s="14" t="n"/>
      <c r="D37" s="14" t="n"/>
      <c r="E37" s="17">
        <f>IFERROR(VLOOKUP(C37,Items!A:E,5,0),"")</f>
        <v/>
      </c>
    </row>
    <row r="38" ht="15" customHeight="1" s="12">
      <c r="A38" s="16" t="n"/>
      <c r="B38" s="14" t="n"/>
      <c r="C38" s="14" t="n"/>
      <c r="D38" s="14" t="n"/>
      <c r="E38" s="17">
        <f>IFERROR(VLOOKUP(C38,Items!A:E,5,0),"")</f>
        <v/>
      </c>
    </row>
    <row r="39" ht="15" customHeight="1" s="12">
      <c r="A39" s="16" t="n"/>
      <c r="B39" s="14" t="n"/>
      <c r="C39" s="14" t="n"/>
      <c r="D39" s="14" t="n"/>
      <c r="E39" s="17">
        <f>IFERROR(VLOOKUP(C39,Items!A:E,5,0),"")</f>
        <v/>
      </c>
    </row>
    <row r="40" ht="15" customHeight="1" s="12">
      <c r="A40" s="16" t="n"/>
      <c r="B40" s="14" t="n"/>
      <c r="C40" s="14" t="n"/>
      <c r="D40" s="14" t="n"/>
      <c r="E40" s="17">
        <f>IFERROR(VLOOKUP(C40,Items!A:E,5,0),"")</f>
        <v/>
      </c>
    </row>
    <row r="41" ht="15" customHeight="1" s="12">
      <c r="A41" s="16" t="n"/>
      <c r="B41" s="14" t="n"/>
      <c r="C41" s="14" t="n"/>
      <c r="D41" s="14" t="n"/>
      <c r="E41" s="17">
        <f>IFERROR(VLOOKUP(C41,Items!A:E,5,0),"")</f>
        <v/>
      </c>
    </row>
    <row r="42" ht="15" customHeight="1" s="12">
      <c r="A42" s="16" t="n"/>
      <c r="B42" s="14" t="n"/>
      <c r="C42" s="14" t="n"/>
      <c r="D42" s="14" t="n"/>
      <c r="E42" s="17">
        <f>IFERROR(VLOOKUP(C42,Items!A:E,5,0),"")</f>
        <v/>
      </c>
    </row>
    <row r="43" ht="15" customHeight="1" s="12">
      <c r="A43" s="16" t="n"/>
      <c r="B43" s="14" t="n"/>
      <c r="C43" s="14" t="n"/>
      <c r="D43" s="14" t="n"/>
      <c r="E43" s="17">
        <f>IFERROR(VLOOKUP(C43,Items!A:E,5,0),"")</f>
        <v/>
      </c>
    </row>
    <row r="44" ht="15" customHeight="1" s="12">
      <c r="A44" s="16" t="n"/>
      <c r="B44" s="14" t="n"/>
      <c r="C44" s="14" t="n"/>
      <c r="D44" s="14" t="n"/>
      <c r="E44" s="17">
        <f>IFERROR(VLOOKUP(C44,Items!A:E,5,0),"")</f>
        <v/>
      </c>
    </row>
    <row r="45" ht="15" customHeight="1" s="12">
      <c r="A45" s="16" t="n"/>
      <c r="B45" s="14" t="n"/>
      <c r="C45" s="14" t="n"/>
      <c r="D45" s="14" t="n"/>
      <c r="E45" s="17">
        <f>IFERROR(VLOOKUP(C45,Items!A:E,5,0),"")</f>
        <v/>
      </c>
    </row>
    <row r="46" ht="15" customHeight="1" s="12">
      <c r="A46" s="16" t="n"/>
      <c r="B46" s="14" t="n"/>
      <c r="C46" s="14" t="n"/>
      <c r="D46" s="14" t="n"/>
      <c r="E46" s="17">
        <f>IFERROR(VLOOKUP(C46,Items!A:E,5,0),"")</f>
        <v/>
      </c>
    </row>
    <row r="47" ht="15" customHeight="1" s="12">
      <c r="A47" s="16" t="n"/>
      <c r="B47" s="14" t="n"/>
      <c r="C47" s="14" t="n"/>
      <c r="D47" s="14" t="n"/>
      <c r="E47" s="17">
        <f>IFERROR(VLOOKUP(C47,Items!A:E,5,0),"")</f>
        <v/>
      </c>
    </row>
    <row r="48" ht="15" customHeight="1" s="12">
      <c r="A48" s="16" t="n"/>
      <c r="B48" s="14" t="n"/>
      <c r="C48" s="14" t="n"/>
      <c r="D48" s="14" t="n"/>
      <c r="E48" s="17">
        <f>IFERROR(VLOOKUP(C48,Items!A:E,5,0),"")</f>
        <v/>
      </c>
    </row>
    <row r="49" ht="15" customHeight="1" s="12">
      <c r="A49" s="16" t="n"/>
      <c r="B49" s="14" t="n"/>
      <c r="C49" s="14" t="n"/>
      <c r="D49" s="14" t="n"/>
      <c r="E49" s="17">
        <f>IFERROR(VLOOKUP(C49,Items!A:E,5,0),"")</f>
        <v/>
      </c>
    </row>
    <row r="50" ht="15" customHeight="1" s="12">
      <c r="A50" s="16" t="n"/>
      <c r="B50" s="14" t="n"/>
      <c r="C50" s="14" t="n"/>
      <c r="D50" s="14" t="n"/>
      <c r="E50" s="17">
        <f>IFERROR(VLOOKUP(C50,Items!A:E,5,0),"")</f>
        <v/>
      </c>
    </row>
    <row r="51" ht="15" customHeight="1" s="12">
      <c r="A51" s="16" t="n"/>
      <c r="B51" s="14" t="n"/>
      <c r="C51" s="14" t="n"/>
      <c r="D51" s="14" t="n"/>
      <c r="E51" s="17">
        <f>IFERROR(VLOOKUP(C51,Items!A:E,5,0),"")</f>
        <v/>
      </c>
    </row>
    <row r="52" ht="15" customHeight="1" s="12">
      <c r="A52" s="16" t="n"/>
      <c r="B52" s="14" t="n"/>
      <c r="C52" s="14" t="n"/>
      <c r="D52" s="14" t="n"/>
      <c r="E52" s="17">
        <f>IFERROR(VLOOKUP(C52,Items!A:E,5,0),"")</f>
        <v/>
      </c>
    </row>
    <row r="53" ht="15" customHeight="1" s="12">
      <c r="A53" s="16" t="n"/>
      <c r="B53" s="14" t="n"/>
      <c r="C53" s="14" t="n"/>
      <c r="D53" s="14" t="n"/>
      <c r="E53" s="17">
        <f>IFERROR(VLOOKUP(C53,Items!A:E,5,0),"")</f>
        <v/>
      </c>
    </row>
    <row r="54" ht="15" customHeight="1" s="12">
      <c r="A54" s="16" t="n"/>
      <c r="B54" s="14" t="n"/>
      <c r="C54" s="14" t="n"/>
      <c r="D54" s="14" t="n"/>
      <c r="E54" s="17">
        <f>IFERROR(VLOOKUP(C54,Items!A:E,5,0),"")</f>
        <v/>
      </c>
    </row>
    <row r="55" ht="15" customHeight="1" s="12">
      <c r="A55" s="16" t="n"/>
      <c r="B55" s="14" t="n"/>
      <c r="C55" s="14" t="n"/>
      <c r="D55" s="14" t="n"/>
      <c r="E55" s="17">
        <f>IFERROR(VLOOKUP(C55,Items!A:E,5,0),"")</f>
        <v/>
      </c>
    </row>
    <row r="56" ht="15" customHeight="1" s="12">
      <c r="A56" s="16" t="n"/>
      <c r="B56" s="14" t="n"/>
      <c r="C56" s="14" t="n"/>
      <c r="D56" s="14" t="n"/>
      <c r="E56" s="17">
        <f>IFERROR(VLOOKUP(C56,Items!A:E,5,0),"")</f>
        <v/>
      </c>
    </row>
    <row r="57" ht="15" customHeight="1" s="12">
      <c r="A57" s="16" t="n"/>
      <c r="B57" s="14" t="n"/>
      <c r="C57" s="14" t="n"/>
      <c r="D57" s="14" t="n"/>
      <c r="E57" s="17">
        <f>IFERROR(VLOOKUP(C57,Items!A:E,5,0),"")</f>
        <v/>
      </c>
    </row>
    <row r="58" ht="15" customHeight="1" s="12">
      <c r="A58" s="16" t="n"/>
      <c r="B58" s="14" t="n"/>
      <c r="C58" s="14" t="n"/>
      <c r="D58" s="14" t="n"/>
      <c r="E58" s="17">
        <f>IFERROR(VLOOKUP(C58,Items!A:E,5,0),"")</f>
        <v/>
      </c>
    </row>
    <row r="59" ht="15" customHeight="1" s="12">
      <c r="A59" s="16" t="n"/>
      <c r="B59" s="14" t="n"/>
      <c r="C59" s="14" t="n"/>
      <c r="D59" s="14" t="n"/>
      <c r="E59" s="17">
        <f>IFERROR(VLOOKUP(C59,Items!A:E,5,0),"")</f>
        <v/>
      </c>
    </row>
    <row r="60" ht="15" customHeight="1" s="12">
      <c r="A60" s="16" t="n"/>
      <c r="B60" s="14" t="n"/>
      <c r="C60" s="14" t="n"/>
      <c r="D60" s="14" t="n"/>
      <c r="E60" s="17">
        <f>IFERROR(VLOOKUP(C60,Items!A:E,5,0),"")</f>
        <v/>
      </c>
    </row>
    <row r="61" ht="15" customHeight="1" s="12">
      <c r="A61" s="16" t="n"/>
      <c r="B61" s="14" t="n"/>
      <c r="C61" s="14" t="n"/>
      <c r="D61" s="14" t="n"/>
      <c r="E61" s="17">
        <f>IFERROR(VLOOKUP(C61,Items!A:E,5,0),"")</f>
        <v/>
      </c>
    </row>
    <row r="62" ht="15" customHeight="1" s="12">
      <c r="A62" s="16" t="n"/>
      <c r="B62" s="14" t="n"/>
      <c r="C62" s="14" t="n"/>
      <c r="D62" s="14" t="n"/>
      <c r="E62" s="17">
        <f>IFERROR(VLOOKUP(C62,Items!A:E,5,0),"")</f>
        <v/>
      </c>
    </row>
    <row r="63" ht="15" customHeight="1" s="12">
      <c r="A63" s="16" t="n"/>
      <c r="B63" s="14" t="n"/>
      <c r="C63" s="14" t="n"/>
      <c r="D63" s="14" t="n"/>
      <c r="E63" s="17">
        <f>IFERROR(VLOOKUP(C63,Items!A:E,5,0),"")</f>
        <v/>
      </c>
    </row>
    <row r="64" ht="15" customHeight="1" s="12">
      <c r="A64" s="16" t="n"/>
      <c r="B64" s="14" t="n"/>
      <c r="C64" s="14" t="n"/>
      <c r="D64" s="14" t="n"/>
      <c r="E64" s="17">
        <f>IFERROR(VLOOKUP(C64,Items!A:E,5,0),"")</f>
        <v/>
      </c>
    </row>
    <row r="65" ht="15" customHeight="1" s="12">
      <c r="A65" s="16" t="n"/>
      <c r="B65" s="14" t="n"/>
      <c r="C65" s="14" t="n"/>
      <c r="D65" s="14" t="n"/>
      <c r="E65" s="17">
        <f>IFERROR(VLOOKUP(C65,Items!A:E,5,0),"")</f>
        <v/>
      </c>
    </row>
    <row r="66" ht="15" customHeight="1" s="12">
      <c r="A66" s="16" t="n"/>
      <c r="B66" s="14" t="n"/>
      <c r="C66" s="14" t="n"/>
      <c r="D66" s="14" t="n"/>
      <c r="E66" s="17">
        <f>IFERROR(VLOOKUP(C66,Items!A:E,5,0),"")</f>
        <v/>
      </c>
    </row>
    <row r="67" ht="15" customHeight="1" s="12">
      <c r="A67" s="16" t="n"/>
      <c r="B67" s="14" t="n"/>
      <c r="C67" s="14" t="n"/>
      <c r="D67" s="14" t="n"/>
      <c r="E67" s="17">
        <f>IFERROR(VLOOKUP(C67,Items!A:E,5,0),"")</f>
        <v/>
      </c>
    </row>
    <row r="68" ht="15" customHeight="1" s="12">
      <c r="A68" s="16" t="n"/>
      <c r="B68" s="14" t="n"/>
      <c r="C68" s="14" t="n"/>
      <c r="D68" s="14" t="n"/>
      <c r="E68" s="17">
        <f>IFERROR(VLOOKUP(C68,Items!A:E,5,0),"")</f>
        <v/>
      </c>
    </row>
    <row r="69" ht="15" customHeight="1" s="12">
      <c r="A69" s="16" t="n"/>
      <c r="B69" s="14" t="n"/>
      <c r="C69" s="14" t="n"/>
      <c r="D69" s="14" t="n"/>
      <c r="E69" s="17">
        <f>IFERROR(VLOOKUP(C69,Items!A:E,5,0),"")</f>
        <v/>
      </c>
    </row>
    <row r="70" ht="15" customHeight="1" s="12">
      <c r="A70" s="16" t="n"/>
      <c r="B70" s="14" t="n"/>
      <c r="C70" s="14" t="n"/>
      <c r="D70" s="14" t="n"/>
      <c r="E70" s="17">
        <f>IFERROR(VLOOKUP(C70,Items!A:E,5,0),"")</f>
        <v/>
      </c>
    </row>
    <row r="71" ht="15" customHeight="1" s="12">
      <c r="A71" s="16" t="n"/>
      <c r="B71" s="14" t="n"/>
      <c r="C71" s="14" t="n"/>
      <c r="D71" s="14" t="n"/>
      <c r="E71" s="17">
        <f>IFERROR(VLOOKUP(C71,Items!A:E,5,0),"")</f>
        <v/>
      </c>
    </row>
    <row r="72" ht="15" customHeight="1" s="12">
      <c r="A72" s="16" t="n"/>
      <c r="B72" s="14" t="n"/>
      <c r="C72" s="14" t="n"/>
      <c r="D72" s="14" t="n"/>
      <c r="E72" s="17">
        <f>IFERROR(VLOOKUP(C72,Items!A:E,5,0),"")</f>
        <v/>
      </c>
    </row>
    <row r="73" ht="15" customHeight="1" s="12">
      <c r="A73" s="16" t="n"/>
      <c r="B73" s="14" t="n"/>
      <c r="C73" s="14" t="n"/>
      <c r="D73" s="14" t="n"/>
      <c r="E73" s="17">
        <f>IFERROR(VLOOKUP(C73,Items!A:E,5,0),"")</f>
        <v/>
      </c>
    </row>
    <row r="74" ht="15" customHeight="1" s="12">
      <c r="A74" s="16" t="n"/>
      <c r="B74" s="14" t="n"/>
      <c r="C74" s="14" t="n"/>
      <c r="D74" s="14" t="n"/>
      <c r="E74" s="17">
        <f>IFERROR(VLOOKUP(C74,Items!A:E,5,0),"")</f>
        <v/>
      </c>
    </row>
    <row r="75" ht="15" customHeight="1" s="12">
      <c r="A75" s="16" t="n"/>
      <c r="B75" s="14" t="n"/>
      <c r="C75" s="14" t="n"/>
      <c r="D75" s="14" t="n"/>
      <c r="E75" s="17">
        <f>IFERROR(VLOOKUP(C75,Items!A:E,5,0),"")</f>
        <v/>
      </c>
    </row>
    <row r="76" ht="15" customHeight="1" s="12">
      <c r="A76" s="16" t="n"/>
      <c r="B76" s="14" t="n"/>
      <c r="C76" s="14" t="n"/>
      <c r="D76" s="14" t="n"/>
      <c r="E76" s="17">
        <f>IFERROR(VLOOKUP(C76,Items!A:E,5,0),"")</f>
        <v/>
      </c>
    </row>
    <row r="77" ht="15" customHeight="1" s="12">
      <c r="A77" s="16" t="n"/>
      <c r="B77" s="14" t="n"/>
      <c r="C77" s="14" t="n"/>
      <c r="D77" s="14" t="n"/>
      <c r="E77" s="17">
        <f>IFERROR(VLOOKUP(C77,Items!A:E,5,0),"")</f>
        <v/>
      </c>
    </row>
    <row r="78" ht="15" customHeight="1" s="12">
      <c r="A78" s="16" t="n"/>
      <c r="B78" s="14" t="n"/>
      <c r="C78" s="14" t="n"/>
      <c r="D78" s="14" t="n"/>
      <c r="E78" s="17">
        <f>IFERROR(VLOOKUP(C78,Items!A:E,5,0),"")</f>
        <v/>
      </c>
    </row>
    <row r="79" ht="15" customHeight="1" s="12">
      <c r="A79" s="16" t="n"/>
      <c r="B79" s="14" t="n"/>
      <c r="C79" s="14" t="n"/>
      <c r="D79" s="14" t="n"/>
      <c r="E79" s="17">
        <f>IFERROR(VLOOKUP(C79,Items!A:E,5,0),"")</f>
        <v/>
      </c>
    </row>
    <row r="80" ht="15" customHeight="1" s="12">
      <c r="A80" s="16" t="n"/>
      <c r="B80" s="14" t="n"/>
      <c r="C80" s="14" t="n"/>
      <c r="D80" s="14" t="n"/>
      <c r="E80" s="17">
        <f>IFERROR(VLOOKUP(C80,Items!A:E,5,0),"")</f>
        <v/>
      </c>
    </row>
    <row r="81" ht="15" customHeight="1" s="12">
      <c r="A81" s="16" t="n"/>
      <c r="B81" s="14" t="n"/>
      <c r="C81" s="14" t="n"/>
      <c r="D81" s="14" t="n"/>
      <c r="E81" s="17">
        <f>IFERROR(VLOOKUP(C81,Items!A:E,5,0),"")</f>
        <v/>
      </c>
    </row>
    <row r="82" ht="15" customHeight="1" s="12">
      <c r="A82" s="16" t="n"/>
      <c r="B82" s="14" t="n"/>
      <c r="C82" s="14" t="n"/>
      <c r="D82" s="14" t="n"/>
      <c r="E82" s="17">
        <f>IFERROR(VLOOKUP(C82,Items!A:E,5,0),"")</f>
        <v/>
      </c>
    </row>
    <row r="83" ht="15" customHeight="1" s="12">
      <c r="A83" s="16" t="n"/>
      <c r="B83" s="14" t="n"/>
      <c r="C83" s="14" t="n"/>
      <c r="D83" s="14" t="n"/>
      <c r="E83" s="17">
        <f>IFERROR(VLOOKUP(C83,Items!A:E,5,0),"")</f>
        <v/>
      </c>
    </row>
    <row r="84" ht="15" customHeight="1" s="12">
      <c r="A84" s="16" t="n"/>
      <c r="B84" s="14" t="n"/>
      <c r="C84" s="14" t="n"/>
      <c r="D84" s="14" t="n"/>
      <c r="E84" s="17">
        <f>IFERROR(VLOOKUP(C84,Items!A:E,5,0),"")</f>
        <v/>
      </c>
    </row>
    <row r="85" ht="15" customHeight="1" s="12">
      <c r="A85" s="16" t="n"/>
      <c r="B85" s="14" t="n"/>
      <c r="C85" s="14" t="n"/>
      <c r="D85" s="14" t="n"/>
      <c r="E85" s="17">
        <f>IFERROR(VLOOKUP(C85,Items!A:E,5,0),"")</f>
        <v/>
      </c>
    </row>
    <row r="86" ht="15" customHeight="1" s="12">
      <c r="A86" s="16" t="n"/>
      <c r="B86" s="14" t="n"/>
      <c r="C86" s="14" t="n"/>
      <c r="D86" s="14" t="n"/>
      <c r="E86" s="17">
        <f>IFERROR(VLOOKUP(C86,Items!A:E,5,0),"")</f>
        <v/>
      </c>
    </row>
    <row r="87" ht="15" customHeight="1" s="12">
      <c r="A87" s="16" t="n"/>
      <c r="B87" s="14" t="n"/>
      <c r="C87" s="14" t="n"/>
      <c r="D87" s="14" t="n"/>
      <c r="E87" s="17">
        <f>IFERROR(VLOOKUP(C87,Items!A:E,5,0),"")</f>
        <v/>
      </c>
    </row>
    <row r="88" ht="15" customHeight="1" s="12">
      <c r="A88" s="16" t="n"/>
      <c r="B88" s="14" t="n"/>
      <c r="C88" s="14" t="n"/>
      <c r="D88" s="14" t="n"/>
      <c r="E88" s="17">
        <f>IFERROR(VLOOKUP(C88,Items!A:E,5,0),"")</f>
        <v/>
      </c>
    </row>
    <row r="89" ht="15" customHeight="1" s="12">
      <c r="A89" s="16" t="n"/>
      <c r="B89" s="14" t="n"/>
      <c r="C89" s="14" t="n"/>
      <c r="D89" s="14" t="n"/>
      <c r="E89" s="17">
        <f>IFERROR(VLOOKUP(C89,Items!A:E,5,0),"")</f>
        <v/>
      </c>
    </row>
    <row r="90" ht="15" customHeight="1" s="12">
      <c r="A90" s="16" t="n"/>
      <c r="B90" s="14" t="n"/>
      <c r="C90" s="14" t="n"/>
      <c r="D90" s="14" t="n"/>
      <c r="E90" s="17">
        <f>IFERROR(VLOOKUP(C90,Items!A:E,5,0),"")</f>
        <v/>
      </c>
    </row>
    <row r="91" ht="15" customHeight="1" s="12">
      <c r="A91" s="16" t="n"/>
      <c r="B91" s="14" t="n"/>
      <c r="C91" s="14" t="n"/>
      <c r="D91" s="14" t="n"/>
      <c r="E91" s="17">
        <f>IFERROR(VLOOKUP(C91,Items!A:E,5,0),"")</f>
        <v/>
      </c>
    </row>
    <row r="92" ht="15" customHeight="1" s="12">
      <c r="A92" s="16" t="n"/>
      <c r="B92" s="14" t="n"/>
      <c r="C92" s="14" t="n"/>
      <c r="D92" s="14" t="n"/>
      <c r="E92" s="17">
        <f>IFERROR(VLOOKUP(C92,Items!A:E,5,0),"")</f>
        <v/>
      </c>
    </row>
    <row r="93" ht="15" customHeight="1" s="12">
      <c r="A93" s="16" t="n"/>
      <c r="B93" s="14" t="n"/>
      <c r="C93" s="14" t="n"/>
      <c r="D93" s="14" t="n"/>
      <c r="E93" s="17">
        <f>IFERROR(VLOOKUP(C93,Items!A:E,5,0),"")</f>
        <v/>
      </c>
    </row>
    <row r="94" ht="15" customHeight="1" s="12">
      <c r="A94" s="16" t="n"/>
      <c r="B94" s="14" t="n"/>
      <c r="C94" s="14" t="n"/>
      <c r="D94" s="14" t="n"/>
      <c r="E94" s="17">
        <f>IFERROR(VLOOKUP(C94,Items!A:E,5,0),"")</f>
        <v/>
      </c>
    </row>
    <row r="95" ht="15" customHeight="1" s="12">
      <c r="A95" s="16" t="n"/>
      <c r="B95" s="14" t="n"/>
      <c r="C95" s="14" t="n"/>
      <c r="D95" s="14" t="n"/>
      <c r="E95" s="17">
        <f>IFERROR(VLOOKUP(C95,Items!A:E,5,0),"")</f>
        <v/>
      </c>
    </row>
    <row r="96" ht="15" customHeight="1" s="12">
      <c r="A96" s="16" t="n"/>
      <c r="B96" s="14" t="n"/>
      <c r="C96" s="14" t="n"/>
      <c r="D96" s="14" t="n"/>
      <c r="E96" s="17">
        <f>IFERROR(VLOOKUP(C96,Items!A:E,5,0),"")</f>
        <v/>
      </c>
    </row>
    <row r="97" ht="15" customHeight="1" s="12">
      <c r="A97" s="16" t="n"/>
      <c r="B97" s="14" t="n"/>
      <c r="C97" s="14" t="n"/>
      <c r="D97" s="14" t="n"/>
      <c r="E97" s="17">
        <f>IFERROR(VLOOKUP(C97,Items!A:E,5,0),"")</f>
        <v/>
      </c>
    </row>
    <row r="98" ht="15" customHeight="1" s="12">
      <c r="A98" s="16" t="n"/>
      <c r="B98" s="14" t="n"/>
      <c r="C98" s="14" t="n"/>
      <c r="D98" s="14" t="n"/>
      <c r="E98" s="17">
        <f>IFERROR(VLOOKUP(C98,Items!A:E,5,0),"")</f>
        <v/>
      </c>
    </row>
    <row r="99" ht="15" customHeight="1" s="12">
      <c r="A99" s="16" t="n"/>
      <c r="B99" s="14" t="n"/>
      <c r="C99" s="14" t="n"/>
      <c r="D99" s="14" t="n"/>
      <c r="E99" s="17">
        <f>IFERROR(VLOOKUP(C99,Items!A:E,5,0),"")</f>
        <v/>
      </c>
    </row>
    <row r="100" ht="15" customHeight="1" s="12">
      <c r="A100" s="16" t="n"/>
      <c r="B100" s="14" t="n"/>
      <c r="C100" s="14" t="n"/>
      <c r="D100" s="14" t="n"/>
      <c r="E100" s="17">
        <f>IFERROR(VLOOKUP(C100,Items!A:E,5,0),"")</f>
        <v/>
      </c>
    </row>
    <row r="101" ht="15" customHeight="1" s="12">
      <c r="A101" s="16" t="n"/>
      <c r="B101" s="14" t="n"/>
      <c r="C101" s="14" t="n"/>
      <c r="D101" s="14" t="n"/>
      <c r="E101" s="17">
        <f>IFERROR(VLOOKUP(C101,Items!A:E,5,0),"")</f>
        <v/>
      </c>
    </row>
    <row r="102" ht="15" customHeight="1" s="12">
      <c r="A102" s="16" t="n"/>
      <c r="B102" s="14" t="n"/>
      <c r="C102" s="14" t="n"/>
      <c r="D102" s="14" t="n"/>
      <c r="E102" s="17">
        <f>IFERROR(VLOOKUP(C102,Items!A:E,5,0),"")</f>
        <v/>
      </c>
    </row>
    <row r="103" ht="15" customHeight="1" s="12">
      <c r="A103" s="16" t="n"/>
      <c r="B103" s="14" t="n"/>
      <c r="C103" s="14" t="n"/>
      <c r="D103" s="14" t="n"/>
      <c r="E103" s="17">
        <f>IFERROR(VLOOKUP(C103,Items!A:E,5,0),"")</f>
        <v/>
      </c>
    </row>
    <row r="104" ht="15" customHeight="1" s="12">
      <c r="A104" s="16" t="n"/>
      <c r="B104" s="14" t="n"/>
      <c r="C104" s="14" t="n"/>
      <c r="D104" s="14" t="n"/>
      <c r="E104" s="17">
        <f>IFERROR(VLOOKUP(C104,Items!A:E,5,0),"")</f>
        <v/>
      </c>
    </row>
    <row r="105" ht="15" customHeight="1" s="12">
      <c r="A105" s="16" t="n"/>
      <c r="B105" s="14" t="n"/>
      <c r="C105" s="14" t="n"/>
      <c r="D105" s="14" t="n"/>
      <c r="E105" s="17">
        <f>IFERROR(VLOOKUP(C105,Items!A:E,5,0),"")</f>
        <v/>
      </c>
    </row>
    <row r="106" ht="15" customHeight="1" s="12">
      <c r="A106" s="16" t="n"/>
      <c r="B106" s="14" t="n"/>
      <c r="C106" s="14" t="n"/>
      <c r="D106" s="14" t="n"/>
      <c r="E106" s="17">
        <f>IFERROR(VLOOKUP(C106,Items!A:E,5,0),"")</f>
        <v/>
      </c>
    </row>
    <row r="107" ht="15" customHeight="1" s="12">
      <c r="A107" s="16" t="n"/>
      <c r="B107" s="14" t="n"/>
      <c r="C107" s="14" t="n"/>
      <c r="D107" s="14" t="n"/>
      <c r="E107" s="17">
        <f>IFERROR(VLOOKUP(C107,Items!A:E,5,0),"")</f>
        <v/>
      </c>
    </row>
    <row r="108" ht="15" customHeight="1" s="12">
      <c r="A108" s="16" t="n"/>
      <c r="B108" s="14" t="n"/>
      <c r="C108" s="14" t="n"/>
      <c r="D108" s="14" t="n"/>
      <c r="E108" s="17">
        <f>IFERROR(VLOOKUP(C108,Items!A:E,5,0),"")</f>
        <v/>
      </c>
    </row>
    <row r="109" ht="15" customHeight="1" s="12">
      <c r="A109" s="16" t="n"/>
      <c r="B109" s="14" t="n"/>
      <c r="C109" s="14" t="n"/>
      <c r="D109" s="14" t="n"/>
      <c r="E109" s="17">
        <f>IFERROR(VLOOKUP(C109,Items!A:E,5,0),"")</f>
        <v/>
      </c>
    </row>
    <row r="110" ht="15" customHeight="1" s="12">
      <c r="A110" s="16" t="n"/>
      <c r="B110" s="14" t="n"/>
      <c r="C110" s="14" t="n"/>
      <c r="D110" s="14" t="n"/>
      <c r="E110" s="17">
        <f>IFERROR(VLOOKUP(C110,Items!A:E,5,0),"")</f>
        <v/>
      </c>
    </row>
    <row r="111" ht="15" customHeight="1" s="12">
      <c r="A111" s="16" t="n"/>
      <c r="B111" s="14" t="n"/>
      <c r="C111" s="14" t="n"/>
      <c r="D111" s="14" t="n"/>
      <c r="E111" s="17">
        <f>IFERROR(VLOOKUP(C111,Items!A:E,5,0),"")</f>
        <v/>
      </c>
    </row>
    <row r="112" ht="15" customHeight="1" s="12">
      <c r="A112" s="16" t="n"/>
      <c r="B112" s="14" t="n"/>
      <c r="C112" s="14" t="n"/>
      <c r="D112" s="14" t="n"/>
      <c r="E112" s="17">
        <f>IFERROR(VLOOKUP(C112,Items!A:E,5,0),"")</f>
        <v/>
      </c>
    </row>
    <row r="113" ht="15" customHeight="1" s="12">
      <c r="A113" s="16" t="n"/>
      <c r="B113" s="14" t="n"/>
      <c r="C113" s="14" t="n"/>
      <c r="D113" s="14" t="n"/>
      <c r="E113" s="17">
        <f>IFERROR(VLOOKUP(C113,Items!A:E,5,0),"")</f>
        <v/>
      </c>
    </row>
    <row r="114" ht="15" customHeight="1" s="12">
      <c r="A114" s="16" t="n"/>
      <c r="B114" s="14" t="n"/>
      <c r="C114" s="14" t="n"/>
      <c r="D114" s="14" t="n"/>
      <c r="E114" s="17">
        <f>IFERROR(VLOOKUP(C114,Items!A:E,5,0),"")</f>
        <v/>
      </c>
    </row>
    <row r="115" ht="15" customHeight="1" s="12">
      <c r="A115" s="16" t="n"/>
      <c r="B115" s="14" t="n"/>
      <c r="C115" s="14" t="n"/>
      <c r="D115" s="14" t="n"/>
      <c r="E115" s="17">
        <f>IFERROR(VLOOKUP(C115,Items!A:E,5,0),"")</f>
        <v/>
      </c>
    </row>
    <row r="116" ht="15" customHeight="1" s="12">
      <c r="A116" s="16" t="n"/>
      <c r="B116" s="14" t="n"/>
      <c r="C116" s="14" t="n"/>
      <c r="D116" s="14" t="n"/>
      <c r="E116" s="17">
        <f>IFERROR(VLOOKUP(C116,Items!A:E,5,0),"")</f>
        <v/>
      </c>
    </row>
    <row r="117" ht="15" customHeight="1" s="12">
      <c r="A117" s="16" t="n"/>
      <c r="B117" s="14" t="n"/>
      <c r="C117" s="14" t="n"/>
      <c r="D117" s="14" t="n"/>
      <c r="E117" s="17">
        <f>IFERROR(VLOOKUP(C117,Items!A:E,5,0),"")</f>
        <v/>
      </c>
    </row>
    <row r="118" ht="15" customHeight="1" s="12">
      <c r="A118" s="16" t="n"/>
      <c r="B118" s="14" t="n"/>
      <c r="C118" s="14" t="n"/>
      <c r="D118" s="14" t="n"/>
      <c r="E118" s="17">
        <f>IFERROR(VLOOKUP(C118,Items!A:E,5,0),"")</f>
        <v/>
      </c>
    </row>
    <row r="119" ht="15" customHeight="1" s="12">
      <c r="A119" s="16" t="n"/>
      <c r="B119" s="14" t="n"/>
      <c r="C119" s="14" t="n"/>
      <c r="D119" s="14" t="n"/>
      <c r="E119" s="17">
        <f>IFERROR(VLOOKUP(C119,Items!A:E,5,0),"")</f>
        <v/>
      </c>
    </row>
    <row r="120" ht="15" customHeight="1" s="12">
      <c r="A120" s="16" t="n"/>
      <c r="B120" s="14" t="n"/>
      <c r="C120" s="14" t="n"/>
      <c r="D120" s="14" t="n"/>
      <c r="E120" s="17">
        <f>IFERROR(VLOOKUP(C120,Items!A:E,5,0),"")</f>
        <v/>
      </c>
    </row>
    <row r="121" ht="15" customHeight="1" s="12">
      <c r="A121" s="16" t="n"/>
      <c r="B121" s="14" t="n"/>
      <c r="C121" s="14" t="n"/>
      <c r="D121" s="14" t="n"/>
      <c r="E121" s="17">
        <f>IFERROR(VLOOKUP(C121,Items!A:E,5,0),"")</f>
        <v/>
      </c>
    </row>
    <row r="122" ht="15" customHeight="1" s="12">
      <c r="A122" s="16" t="n"/>
      <c r="B122" s="14" t="n"/>
      <c r="C122" s="14" t="n"/>
      <c r="D122" s="14" t="n"/>
      <c r="E122" s="17">
        <f>IFERROR(VLOOKUP(C122,Items!A:E,5,0),"")</f>
        <v/>
      </c>
    </row>
    <row r="123" ht="15" customHeight="1" s="12">
      <c r="A123" s="16" t="n"/>
      <c r="B123" s="14" t="n"/>
      <c r="C123" s="14" t="n"/>
      <c r="D123" s="14" t="n"/>
      <c r="E123" s="17">
        <f>IFERROR(VLOOKUP(C123,Items!A:E,5,0),"")</f>
        <v/>
      </c>
    </row>
    <row r="124" ht="15" customHeight="1" s="12">
      <c r="A124" s="16" t="n"/>
      <c r="B124" s="14" t="n"/>
      <c r="C124" s="14" t="n"/>
      <c r="D124" s="14" t="n"/>
      <c r="E124" s="17">
        <f>IFERROR(VLOOKUP(C124,Items!A:E,5,0),"")</f>
        <v/>
      </c>
    </row>
    <row r="125" ht="15" customHeight="1" s="12">
      <c r="A125" s="16" t="n"/>
      <c r="B125" s="14" t="n"/>
      <c r="C125" s="14" t="n"/>
      <c r="D125" s="14" t="n"/>
      <c r="E125" s="17">
        <f>IFERROR(VLOOKUP(C125,Items!A:E,5,0),"")</f>
        <v/>
      </c>
    </row>
    <row r="126" ht="15" customHeight="1" s="12">
      <c r="A126" s="16" t="n"/>
      <c r="B126" s="14" t="n"/>
      <c r="C126" s="14" t="n"/>
      <c r="D126" s="14" t="n"/>
      <c r="E126" s="17">
        <f>IFERROR(VLOOKUP(C126,Items!A:E,5,0),"")</f>
        <v/>
      </c>
    </row>
    <row r="127" ht="15" customHeight="1" s="12">
      <c r="A127" s="16" t="n"/>
      <c r="B127" s="14" t="n"/>
      <c r="C127" s="14" t="n"/>
      <c r="D127" s="14" t="n"/>
      <c r="E127" s="17">
        <f>IFERROR(VLOOKUP(C127,Items!A:E,5,0),"")</f>
        <v/>
      </c>
    </row>
    <row r="128" ht="15" customHeight="1" s="12">
      <c r="A128" s="16" t="n"/>
      <c r="B128" s="14" t="n"/>
      <c r="C128" s="14" t="n"/>
      <c r="D128" s="14" t="n"/>
      <c r="E128" s="17">
        <f>IFERROR(VLOOKUP(C128,Items!A:E,5,0),"")</f>
        <v/>
      </c>
    </row>
    <row r="129" ht="15" customHeight="1" s="12">
      <c r="A129" s="16" t="n"/>
      <c r="B129" s="14" t="n"/>
      <c r="C129" s="14" t="n"/>
      <c r="D129" s="14" t="n"/>
      <c r="E129" s="17">
        <f>IFERROR(VLOOKUP(C129,Items!A:E,5,0),"")</f>
        <v/>
      </c>
    </row>
    <row r="130" ht="15" customHeight="1" s="12">
      <c r="A130" s="16" t="n"/>
      <c r="B130" s="14" t="n"/>
      <c r="C130" s="14" t="n"/>
      <c r="D130" s="14" t="n"/>
      <c r="E130" s="17">
        <f>IFERROR(VLOOKUP(C130,Items!A:E,5,0),"")</f>
        <v/>
      </c>
    </row>
    <row r="131" ht="15" customHeight="1" s="12">
      <c r="A131" s="16" t="n"/>
      <c r="B131" s="14" t="n"/>
      <c r="C131" s="14" t="n"/>
      <c r="D131" s="14" t="n"/>
      <c r="E131" s="17">
        <f>IFERROR(VLOOKUP(C131,Items!A:E,5,0),"")</f>
        <v/>
      </c>
    </row>
    <row r="132" ht="15" customHeight="1" s="12">
      <c r="A132" s="16" t="n"/>
      <c r="B132" s="14" t="n"/>
      <c r="C132" s="14" t="n"/>
      <c r="D132" s="14" t="n"/>
      <c r="E132" s="17">
        <f>IFERROR(VLOOKUP(C132,Items!A:E,5,0),"")</f>
        <v/>
      </c>
    </row>
    <row r="133" ht="15" customHeight="1" s="12">
      <c r="A133" s="16" t="n"/>
      <c r="B133" s="14" t="n"/>
      <c r="C133" s="14" t="n"/>
      <c r="D133" s="14" t="n"/>
      <c r="E133" s="17">
        <f>IFERROR(VLOOKUP(C133,Items!A:E,5,0),"")</f>
        <v/>
      </c>
    </row>
    <row r="134" ht="15" customHeight="1" s="12">
      <c r="A134" s="16" t="n"/>
      <c r="B134" s="14" t="n"/>
      <c r="C134" s="14" t="n"/>
      <c r="D134" s="14" t="n"/>
      <c r="E134" s="17">
        <f>IFERROR(VLOOKUP(C134,Items!A:E,5,0),"")</f>
        <v/>
      </c>
    </row>
    <row r="135" ht="15" customHeight="1" s="12">
      <c r="A135" s="16" t="n"/>
      <c r="B135" s="14" t="n"/>
      <c r="C135" s="14" t="n"/>
      <c r="D135" s="14" t="n"/>
      <c r="E135" s="17">
        <f>IFERROR(VLOOKUP(C135,Items!A:E,5,0),"")</f>
        <v/>
      </c>
    </row>
    <row r="136" ht="15" customHeight="1" s="12">
      <c r="A136" s="16" t="n"/>
      <c r="B136" s="14" t="n"/>
      <c r="C136" s="14" t="n"/>
      <c r="D136" s="14" t="n"/>
      <c r="E136" s="17">
        <f>IFERROR(VLOOKUP(C136,Items!A:E,5,0),"")</f>
        <v/>
      </c>
    </row>
    <row r="137" ht="15" customHeight="1" s="12">
      <c r="A137" s="16" t="n"/>
      <c r="B137" s="14" t="n"/>
      <c r="C137" s="14" t="n"/>
      <c r="D137" s="14" t="n"/>
      <c r="E137" s="17">
        <f>IFERROR(VLOOKUP(C137,Items!A:E,5,0),"")</f>
        <v/>
      </c>
    </row>
    <row r="138" ht="15" customHeight="1" s="12">
      <c r="A138" s="16" t="n"/>
      <c r="B138" s="14" t="n"/>
      <c r="C138" s="14" t="n"/>
      <c r="D138" s="14" t="n"/>
      <c r="E138" s="17">
        <f>IFERROR(VLOOKUP(C138,Items!A:E,5,0),"")</f>
        <v/>
      </c>
    </row>
    <row r="139" ht="15" customHeight="1" s="12">
      <c r="A139" s="16" t="n"/>
      <c r="B139" s="14" t="n"/>
      <c r="C139" s="14" t="n"/>
      <c r="D139" s="14" t="n"/>
      <c r="E139" s="17">
        <f>IFERROR(VLOOKUP(C139,Items!A:E,5,0),"")</f>
        <v/>
      </c>
    </row>
    <row r="140" ht="15" customHeight="1" s="12">
      <c r="A140" s="16" t="n"/>
      <c r="B140" s="14" t="n"/>
      <c r="C140" s="14" t="n"/>
      <c r="D140" s="14" t="n"/>
      <c r="E140" s="17">
        <f>IFERROR(VLOOKUP(C140,Items!A:E,5,0),"")</f>
        <v/>
      </c>
    </row>
    <row r="141" ht="15" customHeight="1" s="12">
      <c r="A141" s="16" t="n"/>
      <c r="B141" s="14" t="n"/>
      <c r="C141" s="14" t="n"/>
      <c r="D141" s="14" t="n"/>
      <c r="E141" s="17">
        <f>IFERROR(VLOOKUP(C141,Items!A:E,5,0),"")</f>
        <v/>
      </c>
    </row>
    <row r="142" ht="15" customHeight="1" s="12">
      <c r="A142" s="16" t="n"/>
      <c r="B142" s="14" t="n"/>
      <c r="C142" s="14" t="n"/>
      <c r="D142" s="14" t="n"/>
      <c r="E142" s="17">
        <f>IFERROR(VLOOKUP(C142,Items!A:E,5,0),"")</f>
        <v/>
      </c>
    </row>
    <row r="143" ht="15" customHeight="1" s="12">
      <c r="A143" s="16" t="n"/>
      <c r="B143" s="14" t="n"/>
      <c r="C143" s="14" t="n"/>
      <c r="D143" s="14" t="n"/>
      <c r="E143" s="17">
        <f>IFERROR(VLOOKUP(C143,Items!A:E,5,0),"")</f>
        <v/>
      </c>
    </row>
    <row r="144" ht="15" customHeight="1" s="12">
      <c r="A144" s="16" t="n"/>
      <c r="B144" s="14" t="n"/>
      <c r="C144" s="14" t="n"/>
      <c r="D144" s="14" t="n"/>
      <c r="E144" s="17">
        <f>IFERROR(VLOOKUP(C144,Items!A:E,5,0),"")</f>
        <v/>
      </c>
    </row>
    <row r="145" ht="15" customHeight="1" s="12">
      <c r="A145" s="16" t="n"/>
      <c r="B145" s="14" t="n"/>
      <c r="C145" s="14" t="n"/>
      <c r="D145" s="14" t="n"/>
      <c r="E145" s="17">
        <f>IFERROR(VLOOKUP(C145,Items!A:E,5,0),"")</f>
        <v/>
      </c>
    </row>
    <row r="146" ht="15" customHeight="1" s="12">
      <c r="A146" s="16" t="n"/>
      <c r="B146" s="14" t="n"/>
      <c r="C146" s="14" t="n"/>
      <c r="D146" s="14" t="n"/>
      <c r="E146" s="17">
        <f>IFERROR(VLOOKUP(C146,Items!A:E,5,0),"")</f>
        <v/>
      </c>
    </row>
    <row r="147" ht="15" customHeight="1" s="12">
      <c r="A147" s="16" t="n"/>
      <c r="B147" s="14" t="n"/>
      <c r="C147" s="14" t="n"/>
      <c r="D147" s="14" t="n"/>
      <c r="E147" s="17">
        <f>IFERROR(VLOOKUP(C147,Items!A:E,5,0),"")</f>
        <v/>
      </c>
    </row>
    <row r="148" ht="15" customHeight="1" s="12">
      <c r="A148" s="16" t="n"/>
      <c r="B148" s="14" t="n"/>
      <c r="C148" s="14" t="n"/>
      <c r="D148" s="14" t="n"/>
      <c r="E148" s="17">
        <f>IFERROR(VLOOKUP(C148,Items!A:E,5,0),"")</f>
        <v/>
      </c>
    </row>
    <row r="149" ht="15" customHeight="1" s="12">
      <c r="A149" s="16" t="n"/>
      <c r="B149" s="14" t="n"/>
      <c r="C149" s="14" t="n"/>
      <c r="D149" s="14" t="n"/>
      <c r="E149" s="17">
        <f>IFERROR(VLOOKUP(C149,Items!A:E,5,0),"")</f>
        <v/>
      </c>
    </row>
    <row r="150" ht="15" customHeight="1" s="12">
      <c r="A150" s="16" t="n"/>
      <c r="B150" s="14" t="n"/>
      <c r="C150" s="14" t="n"/>
      <c r="D150" s="14" t="n"/>
      <c r="E150" s="17">
        <f>IFERROR(VLOOKUP(C150,Items!A:E,5,0),"")</f>
        <v/>
      </c>
    </row>
    <row r="151" ht="15" customHeight="1" s="12">
      <c r="A151" s="16" t="n"/>
      <c r="B151" s="14" t="n"/>
      <c r="C151" s="14" t="n"/>
      <c r="D151" s="14" t="n"/>
      <c r="E151" s="17">
        <f>IFERROR(VLOOKUP(C151,Items!A:E,5,0),"")</f>
        <v/>
      </c>
    </row>
    <row r="152" ht="15" customHeight="1" s="12">
      <c r="A152" s="16" t="n"/>
      <c r="B152" s="14" t="n"/>
      <c r="C152" s="14" t="n"/>
      <c r="D152" s="14" t="n"/>
      <c r="E152" s="17">
        <f>IFERROR(VLOOKUP(C152,Items!A:E,5,0),"")</f>
        <v/>
      </c>
    </row>
    <row r="153" ht="15" customHeight="1" s="12">
      <c r="A153" s="16" t="n"/>
      <c r="B153" s="14" t="n"/>
      <c r="C153" s="14" t="n"/>
      <c r="D153" s="14" t="n"/>
      <c r="E153" s="17">
        <f>IFERROR(VLOOKUP(C153,Items!A:E,5,0),"")</f>
        <v/>
      </c>
    </row>
    <row r="154" ht="15" customHeight="1" s="12">
      <c r="A154" s="16" t="n"/>
      <c r="B154" s="14" t="n"/>
      <c r="C154" s="14" t="n"/>
      <c r="D154" s="14" t="n"/>
      <c r="E154" s="17">
        <f>IFERROR(VLOOKUP(C154,Items!A:E,5,0),"")</f>
        <v/>
      </c>
    </row>
    <row r="155" ht="15" customHeight="1" s="12">
      <c r="A155" s="16" t="n"/>
      <c r="B155" s="14" t="n"/>
      <c r="C155" s="14" t="n"/>
      <c r="D155" s="14" t="n"/>
      <c r="E155" s="17">
        <f>IFERROR(VLOOKUP(C155,Items!A:E,5,0),"")</f>
        <v/>
      </c>
    </row>
    <row r="156" ht="15" customHeight="1" s="12">
      <c r="A156" s="16" t="n"/>
      <c r="B156" s="14" t="n"/>
      <c r="C156" s="14" t="n"/>
      <c r="D156" s="14" t="n"/>
      <c r="E156" s="17">
        <f>IFERROR(VLOOKUP(C156,Items!A:E,5,0),"")</f>
        <v/>
      </c>
    </row>
    <row r="157" ht="15" customHeight="1" s="12">
      <c r="A157" s="16" t="n"/>
      <c r="B157" s="14" t="n"/>
      <c r="C157" s="14" t="n"/>
      <c r="D157" s="14" t="n"/>
      <c r="E157" s="17">
        <f>IFERROR(VLOOKUP(C157,Items!A:E,5,0),"")</f>
        <v/>
      </c>
    </row>
    <row r="158" ht="15" customHeight="1" s="12">
      <c r="A158" s="16" t="n"/>
      <c r="B158" s="14" t="n"/>
      <c r="C158" s="14" t="n"/>
      <c r="D158" s="14" t="n"/>
      <c r="E158" s="17">
        <f>IFERROR(VLOOKUP(C158,Items!A:E,5,0),"")</f>
        <v/>
      </c>
    </row>
    <row r="159" ht="15" customHeight="1" s="12">
      <c r="A159" s="16" t="n"/>
      <c r="B159" s="14" t="n"/>
      <c r="C159" s="14" t="n"/>
      <c r="D159" s="14" t="n"/>
      <c r="E159" s="17">
        <f>IFERROR(VLOOKUP(C159,Items!A:E,5,0),"")</f>
        <v/>
      </c>
    </row>
    <row r="160" ht="15" customHeight="1" s="12">
      <c r="A160" s="16" t="n"/>
      <c r="B160" s="14" t="n"/>
      <c r="C160" s="14" t="n"/>
      <c r="D160" s="14" t="n"/>
      <c r="E160" s="17">
        <f>IFERROR(VLOOKUP(C160,Items!A:E,5,0),"")</f>
        <v/>
      </c>
    </row>
    <row r="161" ht="15" customHeight="1" s="12">
      <c r="A161" s="16" t="n"/>
      <c r="B161" s="14" t="n"/>
      <c r="C161" s="14" t="n"/>
      <c r="D161" s="14" t="n"/>
      <c r="E161" s="17">
        <f>IFERROR(VLOOKUP(C161,Items!A:E,5,0),"")</f>
        <v/>
      </c>
    </row>
    <row r="162" ht="15" customHeight="1" s="12">
      <c r="A162" s="16" t="n"/>
      <c r="B162" s="14" t="n"/>
      <c r="C162" s="14" t="n"/>
      <c r="D162" s="14" t="n"/>
      <c r="E162" s="17">
        <f>IFERROR(VLOOKUP(C162,Items!A:E,5,0),"")</f>
        <v/>
      </c>
    </row>
    <row r="163" ht="15" customHeight="1" s="12">
      <c r="A163" s="16" t="n"/>
      <c r="B163" s="14" t="n"/>
      <c r="C163" s="14" t="n"/>
      <c r="D163" s="14" t="n"/>
      <c r="E163" s="17">
        <f>IFERROR(VLOOKUP(C163,Items!A:E,5,0),"")</f>
        <v/>
      </c>
    </row>
    <row r="164" ht="15" customHeight="1" s="12">
      <c r="A164" s="16" t="n"/>
      <c r="B164" s="14" t="n"/>
      <c r="C164" s="14" t="n"/>
      <c r="D164" s="14" t="n"/>
      <c r="E164" s="17">
        <f>IFERROR(VLOOKUP(C164,Items!A:E,5,0),"")</f>
        <v/>
      </c>
    </row>
    <row r="165" ht="15" customHeight="1" s="12">
      <c r="A165" s="16" t="n"/>
      <c r="B165" s="14" t="n"/>
      <c r="C165" s="14" t="n"/>
      <c r="D165" s="14" t="n"/>
      <c r="E165" s="17">
        <f>IFERROR(VLOOKUP(C165,Items!A:E,5,0),"")</f>
        <v/>
      </c>
    </row>
    <row r="166" ht="15" customHeight="1" s="12">
      <c r="A166" s="16" t="n"/>
      <c r="B166" s="14" t="n"/>
      <c r="C166" s="14" t="n"/>
      <c r="D166" s="14" t="n"/>
      <c r="E166" s="17">
        <f>IFERROR(VLOOKUP(C166,Items!A:E,5,0),"")</f>
        <v/>
      </c>
    </row>
    <row r="167" ht="15" customHeight="1" s="12">
      <c r="A167" s="16" t="n"/>
      <c r="B167" s="14" t="n"/>
      <c r="C167" s="14" t="n"/>
      <c r="D167" s="14" t="n"/>
      <c r="E167" s="17">
        <f>IFERROR(VLOOKUP(C167,Items!A:E,5,0),"")</f>
        <v/>
      </c>
    </row>
    <row r="168" ht="15" customHeight="1" s="12">
      <c r="A168" s="16" t="n"/>
      <c r="B168" s="14" t="n"/>
      <c r="C168" s="14" t="n"/>
      <c r="D168" s="14" t="n"/>
      <c r="E168" s="17">
        <f>IFERROR(VLOOKUP(C168,Items!A:E,5,0),"")</f>
        <v/>
      </c>
    </row>
    <row r="169" ht="15" customHeight="1" s="12">
      <c r="A169" s="16" t="n"/>
      <c r="B169" s="14" t="n"/>
      <c r="C169" s="14" t="n"/>
      <c r="D169" s="14" t="n"/>
      <c r="E169" s="17">
        <f>IFERROR(VLOOKUP(C169,Items!A:E,5,0),"")</f>
        <v/>
      </c>
    </row>
    <row r="170" ht="15" customHeight="1" s="12">
      <c r="A170" s="16" t="n"/>
      <c r="B170" s="14" t="n"/>
      <c r="C170" s="14" t="n"/>
      <c r="D170" s="14" t="n"/>
      <c r="E170" s="17">
        <f>IFERROR(VLOOKUP(C170,Items!A:E,5,0),"")</f>
        <v/>
      </c>
    </row>
    <row r="171" ht="15" customHeight="1" s="12">
      <c r="A171" s="16" t="n"/>
      <c r="B171" s="14" t="n"/>
      <c r="C171" s="14" t="n"/>
      <c r="D171" s="14" t="n"/>
      <c r="E171" s="17">
        <f>IFERROR(VLOOKUP(C171,Items!A:E,5,0),"")</f>
        <v/>
      </c>
    </row>
    <row r="172" ht="15" customHeight="1" s="12">
      <c r="A172" s="16" t="n"/>
      <c r="B172" s="14" t="n"/>
      <c r="C172" s="14" t="n"/>
      <c r="D172" s="14" t="n"/>
      <c r="E172" s="17">
        <f>IFERROR(VLOOKUP(C172,Items!A:E,5,0),"")</f>
        <v/>
      </c>
    </row>
    <row r="173" ht="15" customHeight="1" s="12">
      <c r="A173" s="16" t="n"/>
      <c r="B173" s="14" t="n"/>
      <c r="C173" s="14" t="n"/>
      <c r="D173" s="14" t="n"/>
      <c r="E173" s="17">
        <f>IFERROR(VLOOKUP(C173,Items!A:E,5,0),"")</f>
        <v/>
      </c>
    </row>
    <row r="174" ht="15" customHeight="1" s="12">
      <c r="A174" s="16" t="n"/>
      <c r="B174" s="14" t="n"/>
      <c r="C174" s="14" t="n"/>
      <c r="D174" s="14" t="n"/>
      <c r="E174" s="17">
        <f>IFERROR(VLOOKUP(C174,Items!A:E,5,0),"")</f>
        <v/>
      </c>
    </row>
    <row r="175" ht="15" customHeight="1" s="12">
      <c r="A175" s="16" t="n"/>
      <c r="B175" s="14" t="n"/>
      <c r="C175" s="14" t="n"/>
      <c r="D175" s="14" t="n"/>
      <c r="E175" s="17">
        <f>IFERROR(VLOOKUP(C175,Items!A:E,5,0),"")</f>
        <v/>
      </c>
    </row>
    <row r="176" ht="15" customHeight="1" s="12">
      <c r="A176" s="16" t="n"/>
      <c r="B176" s="14" t="n"/>
      <c r="C176" s="14" t="n"/>
      <c r="D176" s="14" t="n"/>
      <c r="E176" s="17">
        <f>IFERROR(VLOOKUP(C176,Items!A:E,5,0),"")</f>
        <v/>
      </c>
    </row>
    <row r="177" ht="15" customHeight="1" s="12">
      <c r="A177" s="16" t="n"/>
      <c r="B177" s="14" t="n"/>
      <c r="C177" s="14" t="n"/>
      <c r="D177" s="14" t="n"/>
      <c r="E177" s="17">
        <f>IFERROR(VLOOKUP(C177,Items!A:E,5,0),"")</f>
        <v/>
      </c>
    </row>
    <row r="178" ht="15" customHeight="1" s="12">
      <c r="A178" s="16" t="n"/>
      <c r="B178" s="14" t="n"/>
      <c r="C178" s="14" t="n"/>
      <c r="D178" s="14" t="n"/>
      <c r="E178" s="17">
        <f>IFERROR(VLOOKUP(C178,Items!A:E,5,0),"")</f>
        <v/>
      </c>
    </row>
    <row r="179" ht="15" customHeight="1" s="12">
      <c r="A179" s="16" t="n"/>
      <c r="B179" s="14" t="n"/>
      <c r="C179" s="14" t="n"/>
      <c r="D179" s="14" t="n"/>
      <c r="E179" s="17">
        <f>IFERROR(VLOOKUP(C179,Items!A:E,5,0),"")</f>
        <v/>
      </c>
    </row>
    <row r="180" ht="15" customHeight="1" s="12">
      <c r="A180" s="16" t="n"/>
      <c r="B180" s="14" t="n"/>
      <c r="C180" s="14" t="n"/>
      <c r="D180" s="14" t="n"/>
      <c r="E180" s="17">
        <f>IFERROR(VLOOKUP(C180,Items!A:E,5,0),"")</f>
        <v/>
      </c>
    </row>
    <row r="181" ht="15" customHeight="1" s="12">
      <c r="A181" s="16" t="n"/>
      <c r="B181" s="14" t="n"/>
      <c r="C181" s="14" t="n"/>
      <c r="D181" s="14" t="n"/>
      <c r="E181" s="17">
        <f>IFERROR(VLOOKUP(C181,Items!A:E,5,0),"")</f>
        <v/>
      </c>
    </row>
    <row r="182" ht="15" customHeight="1" s="12">
      <c r="A182" s="16" t="n"/>
      <c r="B182" s="14" t="n"/>
      <c r="C182" s="14" t="n"/>
      <c r="D182" s="14" t="n"/>
      <c r="E182" s="17">
        <f>IFERROR(VLOOKUP(C182,Items!A:E,5,0),"")</f>
        <v/>
      </c>
    </row>
    <row r="183" ht="15" customHeight="1" s="12">
      <c r="A183" s="16" t="n"/>
      <c r="B183" s="14" t="n"/>
      <c r="C183" s="14" t="n"/>
      <c r="D183" s="14" t="n"/>
      <c r="E183" s="17">
        <f>IFERROR(VLOOKUP(C183,Items!A:E,5,0),"")</f>
        <v/>
      </c>
    </row>
    <row r="184" ht="15" customHeight="1" s="12">
      <c r="A184" s="16" t="n"/>
      <c r="B184" s="14" t="n"/>
      <c r="C184" s="14" t="n"/>
      <c r="D184" s="14" t="n"/>
      <c r="E184" s="17">
        <f>IFERROR(VLOOKUP(C184,Items!A:E,5,0),"")</f>
        <v/>
      </c>
    </row>
    <row r="185" ht="15" customHeight="1" s="12">
      <c r="A185" s="16" t="n"/>
      <c r="B185" s="14" t="n"/>
      <c r="C185" s="14" t="n"/>
      <c r="D185" s="14" t="n"/>
      <c r="E185" s="17">
        <f>IFERROR(VLOOKUP(C185,Items!A:E,5,0),"")</f>
        <v/>
      </c>
    </row>
    <row r="186" ht="15" customHeight="1" s="12">
      <c r="A186" s="16" t="n"/>
      <c r="B186" s="14" t="n"/>
      <c r="C186" s="14" t="n"/>
      <c r="D186" s="14" t="n"/>
      <c r="E186" s="17">
        <f>IFERROR(VLOOKUP(C186,Items!A:E,5,0),"")</f>
        <v/>
      </c>
    </row>
    <row r="187" ht="15" customHeight="1" s="12">
      <c r="A187" s="16" t="n"/>
      <c r="B187" s="14" t="n"/>
      <c r="C187" s="14" t="n"/>
      <c r="D187" s="14" t="n"/>
      <c r="E187" s="17">
        <f>IFERROR(VLOOKUP(C187,Items!A:E,5,0),"")</f>
        <v/>
      </c>
    </row>
    <row r="188" ht="15" customHeight="1" s="12">
      <c r="A188" s="16" t="n"/>
      <c r="B188" s="14" t="n"/>
      <c r="C188" s="14" t="n"/>
      <c r="D188" s="14" t="n"/>
      <c r="E188" s="17">
        <f>IFERROR(VLOOKUP(C188,Items!A:E,5,0),"")</f>
        <v/>
      </c>
    </row>
    <row r="189" ht="15" customHeight="1" s="12">
      <c r="A189" s="16" t="n"/>
      <c r="B189" s="14" t="n"/>
      <c r="C189" s="14" t="n"/>
      <c r="D189" s="14" t="n"/>
      <c r="E189" s="17">
        <f>IFERROR(VLOOKUP(C189,Items!A:E,5,0),"")</f>
        <v/>
      </c>
    </row>
    <row r="190" ht="15" customHeight="1" s="12">
      <c r="A190" s="16" t="n"/>
      <c r="B190" s="14" t="n"/>
      <c r="C190" s="14" t="n"/>
      <c r="D190" s="14" t="n"/>
      <c r="E190" s="17">
        <f>IFERROR(VLOOKUP(C190,Items!A:E,5,0),"")</f>
        <v/>
      </c>
    </row>
    <row r="191" ht="15" customHeight="1" s="12">
      <c r="A191" s="16" t="n"/>
      <c r="B191" s="14" t="n"/>
      <c r="C191" s="14" t="n"/>
      <c r="D191" s="14" t="n"/>
      <c r="E191" s="17">
        <f>IFERROR(VLOOKUP(C191,Items!A:E,5,0),"")</f>
        <v/>
      </c>
    </row>
    <row r="192" ht="15" customHeight="1" s="12">
      <c r="A192" s="16" t="n"/>
      <c r="B192" s="14" t="n"/>
      <c r="C192" s="14" t="n"/>
      <c r="D192" s="14" t="n"/>
      <c r="E192" s="17">
        <f>IFERROR(VLOOKUP(C192,Items!A:E,5,0),"")</f>
        <v/>
      </c>
    </row>
    <row r="193" ht="15" customHeight="1" s="12">
      <c r="A193" s="16" t="n"/>
      <c r="B193" s="14" t="n"/>
      <c r="C193" s="14" t="n"/>
      <c r="D193" s="14" t="n"/>
      <c r="E193" s="17">
        <f>IFERROR(VLOOKUP(C193,Items!A:E,5,0),"")</f>
        <v/>
      </c>
    </row>
    <row r="194" ht="15" customHeight="1" s="12">
      <c r="A194" s="16" t="n"/>
      <c r="B194" s="14" t="n"/>
      <c r="C194" s="14" t="n"/>
      <c r="D194" s="14" t="n"/>
      <c r="E194" s="17">
        <f>IFERROR(VLOOKUP(C194,Items!A:E,5,0),"")</f>
        <v/>
      </c>
    </row>
    <row r="195" ht="15" customHeight="1" s="12">
      <c r="A195" s="16" t="n"/>
      <c r="B195" s="14" t="n"/>
      <c r="C195" s="14" t="n"/>
      <c r="D195" s="14" t="n"/>
      <c r="E195" s="17">
        <f>IFERROR(VLOOKUP(C195,Items!A:E,5,0),"")</f>
        <v/>
      </c>
    </row>
    <row r="196" ht="15" customHeight="1" s="12">
      <c r="A196" s="16" t="n"/>
      <c r="B196" s="14" t="n"/>
      <c r="C196" s="14" t="n"/>
      <c r="D196" s="14" t="n"/>
      <c r="E196" s="17">
        <f>IFERROR(VLOOKUP(C196,Items!A:E,5,0),"")</f>
        <v/>
      </c>
    </row>
    <row r="197" ht="15" customHeight="1" s="12">
      <c r="A197" s="16" t="n"/>
      <c r="B197" s="14" t="n"/>
      <c r="C197" s="14" t="n"/>
      <c r="D197" s="14" t="n"/>
      <c r="E197" s="17">
        <f>IFERROR(VLOOKUP(C197,Items!A:E,5,0),"")</f>
        <v/>
      </c>
    </row>
    <row r="198" ht="15" customHeight="1" s="12">
      <c r="A198" s="16" t="n"/>
      <c r="B198" s="14" t="n"/>
      <c r="C198" s="14" t="n"/>
      <c r="D198" s="14" t="n"/>
      <c r="E198" s="17">
        <f>IFERROR(VLOOKUP(C198,Items!A:E,5,0),"")</f>
        <v/>
      </c>
    </row>
    <row r="199" ht="15" customHeight="1" s="12">
      <c r="A199" s="16" t="n"/>
      <c r="B199" s="14" t="n"/>
      <c r="C199" s="14" t="n"/>
      <c r="D199" s="14" t="n"/>
      <c r="E199" s="17">
        <f>IFERROR(VLOOKUP(C199,Items!A:E,5,0),"")</f>
        <v/>
      </c>
    </row>
    <row r="200" ht="15" customHeight="1" s="12">
      <c r="A200" s="16" t="n"/>
      <c r="B200" s="14" t="n"/>
      <c r="C200" s="14" t="n"/>
      <c r="D200" s="14" t="n"/>
      <c r="E200" s="17">
        <f>IFERROR(VLOOKUP(C200,Items!A:E,5,0),"")</f>
        <v/>
      </c>
    </row>
    <row r="201" ht="15" customHeight="1" s="12">
      <c r="A201" s="16" t="n"/>
      <c r="B201" s="14" t="n"/>
      <c r="C201" s="14" t="n"/>
      <c r="D201" s="14" t="n"/>
      <c r="E201" s="17">
        <f>IFERROR(VLOOKUP(C201,Items!A:E,5,0),"")</f>
        <v/>
      </c>
    </row>
    <row r="202" ht="15" customHeight="1" s="12">
      <c r="A202" s="16" t="n"/>
      <c r="B202" s="14" t="n"/>
      <c r="C202" s="14" t="n"/>
      <c r="D202" s="14" t="n"/>
      <c r="E202" s="17">
        <f>IFERROR(VLOOKUP(C202,Items!A:E,5,0),"")</f>
        <v/>
      </c>
    </row>
    <row r="203" ht="15" customHeight="1" s="12">
      <c r="A203" s="16" t="n"/>
      <c r="B203" s="14" t="n"/>
      <c r="C203" s="14" t="n"/>
      <c r="D203" s="14" t="n"/>
      <c r="E203" s="17">
        <f>IFERROR(VLOOKUP(C203,Items!A:E,5,0),"")</f>
        <v/>
      </c>
    </row>
    <row r="204" ht="15" customHeight="1" s="12">
      <c r="A204" s="16" t="n"/>
      <c r="B204" s="14" t="n"/>
      <c r="C204" s="14" t="n"/>
      <c r="D204" s="14" t="n"/>
      <c r="E204" s="17">
        <f>IFERROR(VLOOKUP(C204,Items!A:E,5,0),"")</f>
        <v/>
      </c>
    </row>
    <row r="205" ht="15" customHeight="1" s="12">
      <c r="A205" s="16" t="n"/>
      <c r="B205" s="14" t="n"/>
      <c r="C205" s="14" t="n"/>
      <c r="D205" s="14" t="n"/>
      <c r="E205" s="17">
        <f>IFERROR(VLOOKUP(C205,Items!A:E,5,0),"")</f>
        <v/>
      </c>
    </row>
    <row r="206" ht="15" customHeight="1" s="12">
      <c r="A206" s="16" t="n"/>
      <c r="B206" s="14" t="n"/>
      <c r="C206" s="14" t="n"/>
      <c r="D206" s="14" t="n"/>
      <c r="E206" s="17">
        <f>IFERROR(VLOOKUP(C206,Items!A:E,5,0),"")</f>
        <v/>
      </c>
    </row>
    <row r="207" ht="15" customHeight="1" s="12">
      <c r="A207" s="16" t="n"/>
      <c r="B207" s="14" t="n"/>
      <c r="C207" s="14" t="n"/>
      <c r="D207" s="14" t="n"/>
      <c r="E207" s="17">
        <f>IFERROR(VLOOKUP(C207,Items!A:E,5,0),"")</f>
        <v/>
      </c>
    </row>
    <row r="208" ht="15" customHeight="1" s="12">
      <c r="A208" s="16" t="n"/>
      <c r="B208" s="14" t="n"/>
      <c r="C208" s="14" t="n"/>
      <c r="D208" s="14" t="n"/>
      <c r="E208" s="17">
        <f>IFERROR(VLOOKUP(C208,Items!A:E,5,0),"")</f>
        <v/>
      </c>
    </row>
    <row r="209" ht="15" customHeight="1" s="12">
      <c r="A209" s="16" t="n"/>
      <c r="B209" s="14" t="n"/>
      <c r="C209" s="14" t="n"/>
      <c r="D209" s="14" t="n"/>
      <c r="E209" s="17">
        <f>IFERROR(VLOOKUP(C209,Items!A:E,5,0),"")</f>
        <v/>
      </c>
    </row>
    <row r="210" ht="15" customHeight="1" s="12">
      <c r="A210" s="16" t="n"/>
      <c r="B210" s="14" t="n"/>
      <c r="C210" s="14" t="n"/>
      <c r="D210" s="14" t="n"/>
      <c r="E210" s="17">
        <f>IFERROR(VLOOKUP(C210,Items!A:E,5,0),"")</f>
        <v/>
      </c>
    </row>
    <row r="211" ht="15" customHeight="1" s="12">
      <c r="A211" s="16" t="n"/>
      <c r="B211" s="14" t="n"/>
      <c r="C211" s="14" t="n"/>
      <c r="D211" s="14" t="n"/>
      <c r="E211" s="17">
        <f>IFERROR(VLOOKUP(C211,Items!A:E,5,0),"")</f>
        <v/>
      </c>
    </row>
    <row r="212" ht="15" customHeight="1" s="12">
      <c r="A212" s="16" t="n"/>
      <c r="B212" s="14" t="n"/>
      <c r="C212" s="14" t="n"/>
      <c r="D212" s="14" t="n"/>
      <c r="E212" s="17">
        <f>IFERROR(VLOOKUP(C212,Items!A:E,5,0),"")</f>
        <v/>
      </c>
    </row>
    <row r="213" ht="15" customHeight="1" s="12">
      <c r="A213" s="16" t="n"/>
      <c r="B213" s="14" t="n"/>
      <c r="C213" s="14" t="n"/>
      <c r="D213" s="14" t="n"/>
      <c r="E213" s="17">
        <f>IFERROR(VLOOKUP(C213,Items!A:E,5,0),"")</f>
        <v/>
      </c>
    </row>
    <row r="214" ht="15" customHeight="1" s="12">
      <c r="A214" s="16" t="n"/>
      <c r="B214" s="14" t="n"/>
      <c r="C214" s="14" t="n"/>
      <c r="D214" s="14" t="n"/>
      <c r="E214" s="17">
        <f>IFERROR(VLOOKUP(C214,Items!A:E,5,0),"")</f>
        <v/>
      </c>
    </row>
    <row r="215" ht="15" customHeight="1" s="12">
      <c r="A215" s="16" t="n"/>
      <c r="B215" s="14" t="n"/>
      <c r="C215" s="14" t="n"/>
      <c r="D215" s="14" t="n"/>
      <c r="E215" s="17">
        <f>IFERROR(VLOOKUP(C215,Items!A:E,5,0),"")</f>
        <v/>
      </c>
    </row>
    <row r="216" ht="15" customHeight="1" s="12">
      <c r="A216" s="16" t="n"/>
      <c r="B216" s="14" t="n"/>
      <c r="C216" s="14" t="n"/>
      <c r="D216" s="14" t="n"/>
      <c r="E216" s="17">
        <f>IFERROR(VLOOKUP(C216,Items!A:E,5,0),"")</f>
        <v/>
      </c>
    </row>
    <row r="217" ht="15" customHeight="1" s="12">
      <c r="A217" s="16" t="n"/>
      <c r="B217" s="14" t="n"/>
      <c r="C217" s="14" t="n"/>
      <c r="D217" s="14" t="n"/>
      <c r="E217" s="17">
        <f>IFERROR(VLOOKUP(C217,Items!A:E,5,0),"")</f>
        <v/>
      </c>
    </row>
    <row r="218" ht="15" customHeight="1" s="12">
      <c r="A218" s="16" t="n"/>
      <c r="B218" s="14" t="n"/>
      <c r="C218" s="14" t="n"/>
      <c r="D218" s="14" t="n"/>
      <c r="E218" s="17">
        <f>IFERROR(VLOOKUP(C218,Items!A:E,5,0),"")</f>
        <v/>
      </c>
    </row>
    <row r="219" ht="15" customHeight="1" s="12">
      <c r="A219" s="16" t="n"/>
      <c r="B219" s="14" t="n"/>
      <c r="C219" s="14" t="n"/>
      <c r="D219" s="14" t="n"/>
      <c r="E219" s="17">
        <f>IFERROR(VLOOKUP(C219,Items!A:E,5,0),"")</f>
        <v/>
      </c>
    </row>
    <row r="220" ht="15" customHeight="1" s="12">
      <c r="A220" s="16" t="n"/>
      <c r="B220" s="14" t="n"/>
      <c r="C220" s="14" t="n"/>
      <c r="D220" s="14" t="n"/>
      <c r="E220" s="17">
        <f>IFERROR(VLOOKUP(C220,Items!A:E,5,0),"")</f>
        <v/>
      </c>
    </row>
    <row r="221" ht="15" customHeight="1" s="12">
      <c r="A221" s="16" t="n"/>
      <c r="B221" s="14" t="n"/>
      <c r="C221" s="14" t="n"/>
      <c r="D221" s="14" t="n"/>
      <c r="E221" s="17">
        <f>IFERROR(VLOOKUP(C221,Items!A:E,5,0),"")</f>
        <v/>
      </c>
    </row>
    <row r="222" ht="15" customHeight="1" s="12">
      <c r="A222" s="16" t="n"/>
      <c r="B222" s="14" t="n"/>
      <c r="C222" s="14" t="n"/>
      <c r="D222" s="14" t="n"/>
      <c r="E222" s="17">
        <f>IFERROR(VLOOKUP(C222,Items!A:E,5,0),"")</f>
        <v/>
      </c>
    </row>
    <row r="223" ht="15" customHeight="1" s="12">
      <c r="A223" s="16" t="n"/>
      <c r="B223" s="14" t="n"/>
      <c r="C223" s="14" t="n"/>
      <c r="D223" s="14" t="n"/>
      <c r="E223" s="17">
        <f>IFERROR(VLOOKUP(C223,Items!A:E,5,0),"")</f>
        <v/>
      </c>
    </row>
    <row r="224" ht="15" customHeight="1" s="12">
      <c r="A224" s="16" t="n"/>
      <c r="B224" s="14" t="n"/>
      <c r="C224" s="14" t="n"/>
      <c r="D224" s="14" t="n"/>
      <c r="E224" s="17">
        <f>IFERROR(VLOOKUP(C224,Items!A:E,5,0),"")</f>
        <v/>
      </c>
    </row>
    <row r="225" ht="15" customHeight="1" s="12">
      <c r="A225" s="16" t="n"/>
      <c r="B225" s="14" t="n"/>
      <c r="C225" s="14" t="n"/>
      <c r="D225" s="14" t="n"/>
      <c r="E225" s="17">
        <f>IFERROR(VLOOKUP(C225,Items!A:E,5,0),"")</f>
        <v/>
      </c>
    </row>
    <row r="226" ht="15" customHeight="1" s="12">
      <c r="A226" s="16" t="n"/>
      <c r="B226" s="14" t="n"/>
      <c r="C226" s="14" t="n"/>
      <c r="D226" s="14" t="n"/>
      <c r="E226" s="17">
        <f>IFERROR(VLOOKUP(C226,Items!A:E,5,0),"")</f>
        <v/>
      </c>
    </row>
    <row r="227" ht="15" customHeight="1" s="12">
      <c r="A227" s="16" t="n"/>
      <c r="B227" s="14" t="n"/>
      <c r="C227" s="14" t="n"/>
      <c r="D227" s="14" t="n"/>
      <c r="E227" s="17">
        <f>IFERROR(VLOOKUP(C227,Items!A:E,5,0),"")</f>
        <v/>
      </c>
    </row>
    <row r="228" ht="15" customHeight="1" s="12">
      <c r="A228" s="16" t="n"/>
      <c r="B228" s="14" t="n"/>
      <c r="C228" s="14" t="n"/>
      <c r="D228" s="14" t="n"/>
      <c r="E228" s="17">
        <f>IFERROR(VLOOKUP(C228,Items!A:E,5,0),"")</f>
        <v/>
      </c>
    </row>
    <row r="229" ht="15" customHeight="1" s="12">
      <c r="A229" s="16" t="n"/>
      <c r="B229" s="14" t="n"/>
      <c r="C229" s="14" t="n"/>
      <c r="D229" s="14" t="n"/>
      <c r="E229" s="17">
        <f>IFERROR(VLOOKUP(C229,Items!A:E,5,0),"")</f>
        <v/>
      </c>
    </row>
    <row r="230" ht="15" customHeight="1" s="12">
      <c r="A230" s="16" t="n"/>
      <c r="B230" s="14" t="n"/>
      <c r="C230" s="14" t="n"/>
      <c r="D230" s="14" t="n"/>
      <c r="E230" s="17">
        <f>IFERROR(VLOOKUP(C230,Items!A:E,5,0),"")</f>
        <v/>
      </c>
    </row>
    <row r="231" ht="15" customHeight="1" s="12">
      <c r="A231" s="16" t="n"/>
      <c r="B231" s="14" t="n"/>
      <c r="C231" s="14" t="n"/>
      <c r="D231" s="14" t="n"/>
      <c r="E231" s="17">
        <f>IFERROR(VLOOKUP(C231,Items!A:E,5,0),"")</f>
        <v/>
      </c>
    </row>
    <row r="232" ht="15" customHeight="1" s="12">
      <c r="A232" s="16" t="n"/>
      <c r="B232" s="14" t="n"/>
      <c r="C232" s="14" t="n"/>
      <c r="D232" s="14" t="n"/>
      <c r="E232" s="17">
        <f>IFERROR(VLOOKUP(C232,Items!A:E,5,0),"")</f>
        <v/>
      </c>
    </row>
    <row r="233" ht="15" customHeight="1" s="12">
      <c r="A233" s="16" t="n"/>
      <c r="B233" s="14" t="n"/>
      <c r="C233" s="14" t="n"/>
      <c r="D233" s="14" t="n"/>
      <c r="E233" s="17">
        <f>IFERROR(VLOOKUP(C233,Items!A:E,5,0),"")</f>
        <v/>
      </c>
    </row>
    <row r="234" ht="15" customHeight="1" s="12">
      <c r="A234" s="16" t="n"/>
      <c r="B234" s="14" t="n"/>
      <c r="C234" s="14" t="n"/>
      <c r="D234" s="14" t="n"/>
      <c r="E234" s="17">
        <f>IFERROR(VLOOKUP(C234,Items!A:E,5,0),"")</f>
        <v/>
      </c>
    </row>
    <row r="235" ht="15" customHeight="1" s="12">
      <c r="A235" s="16" t="n"/>
      <c r="B235" s="14" t="n"/>
      <c r="C235" s="14" t="n"/>
      <c r="D235" s="14" t="n"/>
      <c r="E235" s="17">
        <f>IFERROR(VLOOKUP(C235,Items!A:E,5,0),"")</f>
        <v/>
      </c>
    </row>
    <row r="236" ht="15" customHeight="1" s="12">
      <c r="A236" s="16" t="n"/>
      <c r="B236" s="14" t="n"/>
      <c r="C236" s="14" t="n"/>
      <c r="D236" s="14" t="n"/>
      <c r="E236" s="17">
        <f>IFERROR(VLOOKUP(C236,Items!A:E,5,0),"")</f>
        <v/>
      </c>
    </row>
    <row r="237" ht="15" customHeight="1" s="12">
      <c r="A237" s="16" t="n"/>
      <c r="B237" s="14" t="n"/>
      <c r="C237" s="14" t="n"/>
      <c r="D237" s="14" t="n"/>
      <c r="E237" s="17">
        <f>IFERROR(VLOOKUP(C237,Items!A:E,5,0),"")</f>
        <v/>
      </c>
    </row>
    <row r="238" ht="15" customHeight="1" s="12">
      <c r="A238" s="16" t="n"/>
      <c r="B238" s="14" t="n"/>
      <c r="C238" s="14" t="n"/>
      <c r="D238" s="14" t="n"/>
      <c r="E238" s="17">
        <f>IFERROR(VLOOKUP(C238,Items!A:E,5,0),"")</f>
        <v/>
      </c>
    </row>
    <row r="239" ht="15" customHeight="1" s="12">
      <c r="A239" s="16" t="n"/>
      <c r="B239" s="14" t="n"/>
      <c r="C239" s="14" t="n"/>
      <c r="D239" s="14" t="n"/>
      <c r="E239" s="17">
        <f>IFERROR(VLOOKUP(C239,Items!A:E,5,0),"")</f>
        <v/>
      </c>
    </row>
    <row r="240" ht="15" customHeight="1" s="12">
      <c r="A240" s="16" t="n"/>
      <c r="B240" s="14" t="n"/>
      <c r="C240" s="14" t="n"/>
      <c r="D240" s="14" t="n"/>
      <c r="E240" s="17">
        <f>IFERROR(VLOOKUP(C240,Items!A:E,5,0),"")</f>
        <v/>
      </c>
    </row>
    <row r="241" ht="15" customHeight="1" s="12">
      <c r="A241" s="16" t="n"/>
      <c r="B241" s="14" t="n"/>
      <c r="C241" s="14" t="n"/>
      <c r="D241" s="14" t="n"/>
      <c r="E241" s="17">
        <f>IFERROR(VLOOKUP(C241,Items!A:E,5,0),"")</f>
        <v/>
      </c>
    </row>
    <row r="242" ht="15" customHeight="1" s="12">
      <c r="A242" s="16" t="n"/>
      <c r="B242" s="14" t="n"/>
      <c r="C242" s="14" t="n"/>
      <c r="D242" s="14" t="n"/>
      <c r="E242" s="17">
        <f>IFERROR(VLOOKUP(C242,Items!A:E,5,0),"")</f>
        <v/>
      </c>
    </row>
    <row r="243" ht="15" customHeight="1" s="12">
      <c r="A243" s="16" t="n"/>
      <c r="B243" s="14" t="n"/>
      <c r="C243" s="14" t="n"/>
      <c r="D243" s="14" t="n"/>
      <c r="E243" s="17">
        <f>IFERROR(VLOOKUP(C243,Items!A:E,5,0),"")</f>
        <v/>
      </c>
    </row>
    <row r="244" ht="15" customHeight="1" s="12">
      <c r="A244" s="16" t="n"/>
      <c r="B244" s="14" t="n"/>
      <c r="C244" s="14" t="n"/>
      <c r="D244" s="14" t="n"/>
      <c r="E244" s="17">
        <f>IFERROR(VLOOKUP(C244,Items!A:E,5,0),"")</f>
        <v/>
      </c>
    </row>
    <row r="245" ht="15" customHeight="1" s="12">
      <c r="A245" s="16" t="n"/>
      <c r="B245" s="14" t="n"/>
      <c r="C245" s="14" t="n"/>
      <c r="D245" s="14" t="n"/>
      <c r="E245" s="17">
        <f>IFERROR(VLOOKUP(C245,Items!A:E,5,0),"")</f>
        <v/>
      </c>
    </row>
    <row r="246" ht="15" customHeight="1" s="12">
      <c r="A246" s="16" t="n"/>
      <c r="B246" s="14" t="n"/>
      <c r="C246" s="14" t="n"/>
      <c r="D246" s="14" t="n"/>
      <c r="E246" s="17">
        <f>IFERROR(VLOOKUP(C246,Items!A:E,5,0),"")</f>
        <v/>
      </c>
    </row>
    <row r="247" ht="15" customHeight="1" s="12">
      <c r="A247" s="16" t="n"/>
      <c r="B247" s="14" t="n"/>
      <c r="C247" s="14" t="n"/>
      <c r="D247" s="14" t="n"/>
      <c r="E247" s="17">
        <f>IFERROR(VLOOKUP(C247,Items!A:E,5,0),"")</f>
        <v/>
      </c>
    </row>
    <row r="248" ht="15" customHeight="1" s="12">
      <c r="A248" s="16" t="n"/>
      <c r="B248" s="14" t="n"/>
      <c r="C248" s="14" t="n"/>
      <c r="D248" s="14" t="n"/>
      <c r="E248" s="17">
        <f>IFERROR(VLOOKUP(C248,Items!A:E,5,0),"")</f>
        <v/>
      </c>
    </row>
    <row r="249" ht="15" customHeight="1" s="12">
      <c r="A249" s="16" t="n"/>
      <c r="B249" s="14" t="n"/>
      <c r="C249" s="14" t="n"/>
      <c r="D249" s="14" t="n"/>
      <c r="E249" s="17">
        <f>IFERROR(VLOOKUP(C249,Items!A:E,5,0),"")</f>
        <v/>
      </c>
    </row>
    <row r="250" ht="15" customHeight="1" s="12">
      <c r="A250" s="16" t="n"/>
      <c r="B250" s="14" t="n"/>
      <c r="C250" s="14" t="n"/>
      <c r="D250" s="14" t="n"/>
      <c r="E250" s="17">
        <f>IFERROR(VLOOKUP(C250,Items!A:E,5,0),"")</f>
        <v/>
      </c>
    </row>
    <row r="251" ht="15" customHeight="1" s="12">
      <c r="A251" s="16" t="n"/>
      <c r="B251" s="14" t="n"/>
      <c r="C251" s="14" t="n"/>
      <c r="D251" s="14" t="n"/>
      <c r="E251" s="17">
        <f>IFERROR(VLOOKUP(C251,Items!A:E,5,0),"")</f>
        <v/>
      </c>
    </row>
    <row r="252" ht="15" customHeight="1" s="12">
      <c r="A252" s="16" t="n"/>
      <c r="B252" s="14" t="n"/>
      <c r="C252" s="14" t="n"/>
      <c r="D252" s="14" t="n"/>
      <c r="E252" s="17">
        <f>IFERROR(VLOOKUP(C252,Items!A:E,5,0),"")</f>
        <v/>
      </c>
    </row>
    <row r="253" ht="15" customHeight="1" s="12">
      <c r="A253" s="16" t="n"/>
      <c r="B253" s="14" t="n"/>
      <c r="C253" s="14" t="n"/>
      <c r="D253" s="14" t="n"/>
      <c r="E253" s="17">
        <f>IFERROR(VLOOKUP(C253,Items!A:E,5,0),"")</f>
        <v/>
      </c>
    </row>
    <row r="254" ht="15" customHeight="1" s="12">
      <c r="A254" s="16" t="n"/>
      <c r="B254" s="14" t="n"/>
      <c r="C254" s="14" t="n"/>
      <c r="D254" s="14" t="n"/>
      <c r="E254" s="17">
        <f>IFERROR(VLOOKUP(C254,Items!A:E,5,0),"")</f>
        <v/>
      </c>
    </row>
    <row r="255" ht="15" customHeight="1" s="12">
      <c r="A255" s="16" t="n"/>
      <c r="B255" s="14" t="n"/>
      <c r="C255" s="14" t="n"/>
      <c r="D255" s="14" t="n"/>
      <c r="E255" s="17">
        <f>IFERROR(VLOOKUP(C255,Items!A:E,5,0),"")</f>
        <v/>
      </c>
    </row>
    <row r="256" ht="15" customHeight="1" s="12">
      <c r="A256" s="16" t="n"/>
      <c r="B256" s="14" t="n"/>
      <c r="C256" s="14" t="n"/>
      <c r="D256" s="14" t="n"/>
      <c r="E256" s="17">
        <f>IFERROR(VLOOKUP(C256,Items!A:E,5,0),"")</f>
        <v/>
      </c>
    </row>
    <row r="257" ht="15" customHeight="1" s="12">
      <c r="A257" s="16" t="n"/>
      <c r="B257" s="14" t="n"/>
      <c r="C257" s="14" t="n"/>
      <c r="D257" s="14" t="n"/>
      <c r="E257" s="17">
        <f>IFERROR(VLOOKUP(C257,Items!A:E,5,0),"")</f>
        <v/>
      </c>
    </row>
    <row r="258" ht="15" customHeight="1" s="12">
      <c r="A258" s="16" t="n"/>
      <c r="B258" s="14" t="n"/>
      <c r="C258" s="14" t="n"/>
      <c r="D258" s="14" t="n"/>
      <c r="E258" s="17">
        <f>IFERROR(VLOOKUP(C258,Items!A:E,5,0),"")</f>
        <v/>
      </c>
    </row>
    <row r="259" ht="15" customHeight="1" s="12">
      <c r="A259" s="16" t="n"/>
      <c r="B259" s="14" t="n"/>
      <c r="C259" s="14" t="n"/>
      <c r="D259" s="14" t="n"/>
      <c r="E259" s="17">
        <f>IFERROR(VLOOKUP(C259,Items!A:E,5,0),"")</f>
        <v/>
      </c>
    </row>
    <row r="260" ht="15" customHeight="1" s="12">
      <c r="A260" s="16" t="n"/>
      <c r="B260" s="14" t="n"/>
      <c r="C260" s="14" t="n"/>
      <c r="D260" s="14" t="n"/>
      <c r="E260" s="17">
        <f>IFERROR(VLOOKUP(C260,Items!A:E,5,0),"")</f>
        <v/>
      </c>
    </row>
    <row r="261" ht="15" customHeight="1" s="12">
      <c r="A261" s="16" t="n"/>
      <c r="B261" s="14" t="n"/>
      <c r="C261" s="14" t="n"/>
      <c r="D261" s="14" t="n"/>
      <c r="E261" s="17">
        <f>IFERROR(VLOOKUP(C261,Items!A:E,5,0),"")</f>
        <v/>
      </c>
    </row>
    <row r="262" ht="15" customHeight="1" s="12">
      <c r="A262" s="16" t="n"/>
      <c r="B262" s="14" t="n"/>
      <c r="C262" s="14" t="n"/>
      <c r="D262" s="14" t="n"/>
      <c r="E262" s="17">
        <f>IFERROR(VLOOKUP(C262,Items!A:E,5,0),"")</f>
        <v/>
      </c>
    </row>
    <row r="263" ht="15" customHeight="1" s="12">
      <c r="A263" s="16" t="n"/>
      <c r="B263" s="14" t="n"/>
      <c r="C263" s="14" t="n"/>
      <c r="D263" s="14" t="n"/>
      <c r="E263" s="17">
        <f>IFERROR(VLOOKUP(C263,Items!A:E,5,0),"")</f>
        <v/>
      </c>
    </row>
    <row r="264" ht="15" customHeight="1" s="12">
      <c r="A264" s="16" t="n"/>
      <c r="B264" s="14" t="n"/>
      <c r="C264" s="14" t="n"/>
      <c r="D264" s="14" t="n"/>
      <c r="E264" s="17">
        <f>IFERROR(VLOOKUP(C264,Items!A:E,5,0),"")</f>
        <v/>
      </c>
    </row>
    <row r="265" ht="15" customHeight="1" s="12">
      <c r="A265" s="16" t="n"/>
      <c r="B265" s="14" t="n"/>
      <c r="C265" s="14" t="n"/>
      <c r="D265" s="14" t="n"/>
      <c r="E265" s="17">
        <f>IFERROR(VLOOKUP(C265,Items!A:E,5,0),"")</f>
        <v/>
      </c>
    </row>
    <row r="266" ht="15" customHeight="1" s="12">
      <c r="A266" s="16" t="n"/>
      <c r="B266" s="14" t="n"/>
      <c r="C266" s="14" t="n"/>
      <c r="D266" s="14" t="n"/>
      <c r="E266" s="17">
        <f>IFERROR(VLOOKUP(C266,Items!A:E,5,0),"")</f>
        <v/>
      </c>
    </row>
    <row r="267" ht="15" customHeight="1" s="12">
      <c r="A267" s="16" t="n"/>
      <c r="B267" s="14" t="n"/>
      <c r="C267" s="14" t="n"/>
      <c r="D267" s="14" t="n"/>
      <c r="E267" s="17">
        <f>IFERROR(VLOOKUP(C267,Items!A:E,5,0),"")</f>
        <v/>
      </c>
    </row>
    <row r="268" ht="15" customHeight="1" s="12">
      <c r="A268" s="16" t="n"/>
      <c r="B268" s="14" t="n"/>
      <c r="C268" s="14" t="n"/>
      <c r="D268" s="14" t="n"/>
      <c r="E268" s="17">
        <f>IFERROR(VLOOKUP(C268,Items!A:E,5,0),"")</f>
        <v/>
      </c>
    </row>
    <row r="269" ht="15" customHeight="1" s="12">
      <c r="A269" s="16" t="n"/>
      <c r="B269" s="14" t="n"/>
      <c r="C269" s="14" t="n"/>
      <c r="D269" s="14" t="n"/>
      <c r="E269" s="17">
        <f>IFERROR(VLOOKUP(C269,Items!A:E,5,0),"")</f>
        <v/>
      </c>
    </row>
    <row r="270" ht="15" customHeight="1" s="12">
      <c r="A270" s="16" t="n"/>
      <c r="B270" s="14" t="n"/>
      <c r="C270" s="14" t="n"/>
      <c r="D270" s="14" t="n"/>
      <c r="E270" s="17">
        <f>IFERROR(VLOOKUP(C270,Items!A:E,5,0),"")</f>
        <v/>
      </c>
    </row>
    <row r="271" ht="15" customHeight="1" s="12">
      <c r="A271" s="16" t="n"/>
      <c r="B271" s="14" t="n"/>
      <c r="C271" s="14" t="n"/>
      <c r="D271" s="14" t="n"/>
      <c r="E271" s="17">
        <f>IFERROR(VLOOKUP(C271,Items!A:E,5,0),"")</f>
        <v/>
      </c>
    </row>
    <row r="272" ht="15" customHeight="1" s="12">
      <c r="A272" s="16" t="n"/>
      <c r="B272" s="14" t="n"/>
      <c r="C272" s="14" t="n"/>
      <c r="D272" s="14" t="n"/>
      <c r="E272" s="17">
        <f>IFERROR(VLOOKUP(C272,Items!A:E,5,0),"")</f>
        <v/>
      </c>
    </row>
    <row r="273" ht="15" customHeight="1" s="12">
      <c r="A273" s="16" t="n"/>
      <c r="B273" s="14" t="n"/>
      <c r="C273" s="14" t="n"/>
      <c r="D273" s="14" t="n"/>
      <c r="E273" s="17">
        <f>IFERROR(VLOOKUP(C273,Items!A:E,5,0),"")</f>
        <v/>
      </c>
    </row>
    <row r="274" ht="15" customHeight="1" s="12">
      <c r="A274" s="16" t="n"/>
      <c r="B274" s="14" t="n"/>
      <c r="C274" s="14" t="n"/>
      <c r="D274" s="14" t="n"/>
      <c r="E274" s="17">
        <f>IFERROR(VLOOKUP(C274,Items!A:E,5,0),"")</f>
        <v/>
      </c>
    </row>
    <row r="275" ht="15" customHeight="1" s="12">
      <c r="A275" s="16" t="n"/>
      <c r="B275" s="14" t="n"/>
      <c r="C275" s="14" t="n"/>
      <c r="D275" s="14" t="n"/>
      <c r="E275" s="17">
        <f>IFERROR(VLOOKUP(C275,Items!A:E,5,0),"")</f>
        <v/>
      </c>
    </row>
    <row r="276" ht="15" customHeight="1" s="12">
      <c r="A276" s="16" t="n"/>
      <c r="B276" s="14" t="n"/>
      <c r="C276" s="14" t="n"/>
      <c r="D276" s="14" t="n"/>
      <c r="E276" s="17">
        <f>IFERROR(VLOOKUP(C276,Items!A:E,5,0),"")</f>
        <v/>
      </c>
    </row>
    <row r="277" ht="15" customHeight="1" s="12">
      <c r="A277" s="16" t="n"/>
      <c r="B277" s="14" t="n"/>
      <c r="C277" s="14" t="n"/>
      <c r="D277" s="14" t="n"/>
      <c r="E277" s="17">
        <f>IFERROR(VLOOKUP(C277,Items!A:E,5,0),"")</f>
        <v/>
      </c>
    </row>
    <row r="278" ht="15" customHeight="1" s="12">
      <c r="A278" s="16" t="n"/>
      <c r="B278" s="14" t="n"/>
      <c r="C278" s="14" t="n"/>
      <c r="D278" s="14" t="n"/>
      <c r="E278" s="17">
        <f>IFERROR(VLOOKUP(C278,Items!A:E,5,0),"")</f>
        <v/>
      </c>
    </row>
    <row r="279" ht="15" customHeight="1" s="12">
      <c r="A279" s="16" t="n"/>
      <c r="B279" s="14" t="n"/>
      <c r="C279" s="14" t="n"/>
      <c r="D279" s="14" t="n"/>
      <c r="E279" s="17">
        <f>IFERROR(VLOOKUP(C279,Items!A:E,5,0),"")</f>
        <v/>
      </c>
    </row>
    <row r="280" ht="15" customHeight="1" s="12">
      <c r="A280" s="16" t="n"/>
      <c r="B280" s="14" t="n"/>
      <c r="C280" s="14" t="n"/>
      <c r="D280" s="14" t="n"/>
      <c r="E280" s="17">
        <f>IFERROR(VLOOKUP(C280,Items!A:E,5,0),"")</f>
        <v/>
      </c>
    </row>
    <row r="281" ht="15" customHeight="1" s="12">
      <c r="A281" s="16" t="n"/>
      <c r="B281" s="14" t="n"/>
      <c r="C281" s="14" t="n"/>
      <c r="D281" s="14" t="n"/>
      <c r="E281" s="17">
        <f>IFERROR(VLOOKUP(C281,Items!A:E,5,0),"")</f>
        <v/>
      </c>
    </row>
    <row r="282" ht="15" customHeight="1" s="12">
      <c r="A282" s="16" t="n"/>
      <c r="B282" s="14" t="n"/>
      <c r="C282" s="14" t="n"/>
      <c r="D282" s="14" t="n"/>
      <c r="E282" s="17">
        <f>IFERROR(VLOOKUP(C282,Items!A:E,5,0),"")</f>
        <v/>
      </c>
    </row>
    <row r="283" ht="15" customHeight="1" s="12">
      <c r="A283" s="16" t="n"/>
      <c r="B283" s="14" t="n"/>
      <c r="C283" s="14" t="n"/>
      <c r="D283" s="14" t="n"/>
      <c r="E283" s="17">
        <f>IFERROR(VLOOKUP(C283,Items!A:E,5,0),"")</f>
        <v/>
      </c>
    </row>
    <row r="284" ht="15" customHeight="1" s="12">
      <c r="A284" s="16" t="n"/>
      <c r="B284" s="14" t="n"/>
      <c r="C284" s="14" t="n"/>
      <c r="D284" s="14" t="n"/>
      <c r="E284" s="17">
        <f>IFERROR(VLOOKUP(C284,Items!A:E,5,0),"")</f>
        <v/>
      </c>
    </row>
    <row r="285" ht="15" customHeight="1" s="12">
      <c r="A285" s="16" t="n"/>
      <c r="B285" s="14" t="n"/>
      <c r="C285" s="14" t="n"/>
      <c r="D285" s="14" t="n"/>
      <c r="E285" s="17">
        <f>IFERROR(VLOOKUP(C285,Items!A:E,5,0),"")</f>
        <v/>
      </c>
    </row>
    <row r="286" ht="15" customHeight="1" s="12">
      <c r="A286" s="16" t="n"/>
      <c r="B286" s="14" t="n"/>
      <c r="C286" s="14" t="n"/>
      <c r="D286" s="14" t="n"/>
      <c r="E286" s="17">
        <f>IFERROR(VLOOKUP(C286,Items!A:E,5,0),"")</f>
        <v/>
      </c>
    </row>
    <row r="287" ht="15" customHeight="1" s="12">
      <c r="A287" s="16" t="n"/>
      <c r="B287" s="14" t="n"/>
      <c r="C287" s="14" t="n"/>
      <c r="D287" s="14" t="n"/>
      <c r="E287" s="17">
        <f>IFERROR(VLOOKUP(C287,Items!A:E,5,0),"")</f>
        <v/>
      </c>
    </row>
    <row r="288" ht="15" customHeight="1" s="12">
      <c r="A288" s="16" t="n"/>
      <c r="B288" s="14" t="n"/>
      <c r="C288" s="14" t="n"/>
      <c r="D288" s="14" t="n"/>
      <c r="E288" s="17">
        <f>IFERROR(VLOOKUP(C288,Items!A:E,5,0),"")</f>
        <v/>
      </c>
    </row>
    <row r="289" ht="15" customHeight="1" s="12">
      <c r="A289" s="16" t="n"/>
      <c r="B289" s="14" t="n"/>
      <c r="C289" s="14" t="n"/>
      <c r="D289" s="14" t="n"/>
      <c r="E289" s="17">
        <f>IFERROR(VLOOKUP(C289,Items!A:E,5,0),"")</f>
        <v/>
      </c>
    </row>
    <row r="290" ht="15" customHeight="1" s="12">
      <c r="A290" s="16" t="n"/>
      <c r="B290" s="14" t="n"/>
      <c r="C290" s="14" t="n"/>
      <c r="D290" s="14" t="n"/>
      <c r="E290" s="17">
        <f>IFERROR(VLOOKUP(C290,Items!A:E,5,0),"")</f>
        <v/>
      </c>
    </row>
    <row r="291" ht="15" customHeight="1" s="12">
      <c r="A291" s="16" t="n"/>
      <c r="B291" s="14" t="n"/>
      <c r="C291" s="14" t="n"/>
      <c r="D291" s="14" t="n"/>
      <c r="E291" s="17">
        <f>IFERROR(VLOOKUP(C291,Items!A:E,5,0),"")</f>
        <v/>
      </c>
    </row>
    <row r="292" ht="15" customHeight="1" s="12">
      <c r="A292" s="16" t="n"/>
      <c r="B292" s="14" t="n"/>
      <c r="C292" s="14" t="n"/>
      <c r="D292" s="14" t="n"/>
      <c r="E292" s="17">
        <f>IFERROR(VLOOKUP(C292,Items!A:E,5,0),"")</f>
        <v/>
      </c>
    </row>
    <row r="293" ht="15" customHeight="1" s="12">
      <c r="A293" s="16" t="n"/>
      <c r="B293" s="14" t="n"/>
      <c r="C293" s="14" t="n"/>
      <c r="D293" s="14" t="n"/>
      <c r="E293" s="17">
        <f>IFERROR(VLOOKUP(C293,Items!A:E,5,0),"")</f>
        <v/>
      </c>
    </row>
    <row r="294" ht="15" customHeight="1" s="12">
      <c r="A294" s="16" t="n"/>
      <c r="B294" s="14" t="n"/>
      <c r="C294" s="14" t="n"/>
      <c r="D294" s="14" t="n"/>
      <c r="E294" s="17">
        <f>IFERROR(VLOOKUP(C294,Items!A:E,5,0),"")</f>
        <v/>
      </c>
    </row>
    <row r="295" ht="15" customHeight="1" s="12">
      <c r="A295" s="16" t="n"/>
      <c r="B295" s="14" t="n"/>
      <c r="C295" s="14" t="n"/>
      <c r="D295" s="14" t="n"/>
      <c r="E295" s="17">
        <f>IFERROR(VLOOKUP(C295,Items!A:E,5,0),"")</f>
        <v/>
      </c>
    </row>
    <row r="296" ht="15" customHeight="1" s="12">
      <c r="A296" s="16" t="n"/>
      <c r="B296" s="14" t="n"/>
      <c r="C296" s="14" t="n"/>
      <c r="D296" s="14" t="n"/>
      <c r="E296" s="17">
        <f>IFERROR(VLOOKUP(C296,Items!A:E,5,0),"")</f>
        <v/>
      </c>
    </row>
    <row r="297" ht="15" customHeight="1" s="12">
      <c r="A297" s="16" t="n"/>
      <c r="B297" s="14" t="n"/>
      <c r="C297" s="14" t="n"/>
      <c r="D297" s="14" t="n"/>
      <c r="E297" s="17">
        <f>IFERROR(VLOOKUP(C297,Items!A:E,5,0),"")</f>
        <v/>
      </c>
    </row>
    <row r="298" ht="15" customHeight="1" s="12">
      <c r="A298" s="16" t="n"/>
      <c r="B298" s="14" t="n"/>
      <c r="C298" s="14" t="n"/>
      <c r="D298" s="14" t="n"/>
      <c r="E298" s="17">
        <f>IFERROR(VLOOKUP(C298,Items!A:E,5,0),"")</f>
        <v/>
      </c>
    </row>
    <row r="299" ht="15" customHeight="1" s="12">
      <c r="A299" s="16" t="n"/>
      <c r="B299" s="14" t="n"/>
      <c r="C299" s="14" t="n"/>
      <c r="D299" s="14" t="n"/>
      <c r="E299" s="17">
        <f>IFERROR(VLOOKUP(C299,Items!A:E,5,0),"")</f>
        <v/>
      </c>
    </row>
    <row r="300" ht="15" customHeight="1" s="12">
      <c r="A300" s="16" t="n"/>
      <c r="B300" s="14" t="n"/>
      <c r="C300" s="14" t="n"/>
      <c r="D300" s="14" t="n"/>
      <c r="E300" s="17">
        <f>IFERROR(VLOOKUP(C300,Items!A:E,5,0),"")</f>
        <v/>
      </c>
    </row>
    <row r="301" ht="15" customHeight="1" s="12">
      <c r="A301" s="16" t="n"/>
      <c r="B301" s="14" t="n"/>
      <c r="C301" s="14" t="n"/>
      <c r="D301" s="14" t="n"/>
      <c r="E301" s="17">
        <f>IFERROR(VLOOKUP(C301,Items!A:E,5,0),"")</f>
        <v/>
      </c>
    </row>
    <row r="302" ht="15" customHeight="1" s="12">
      <c r="A302" s="16" t="n"/>
      <c r="B302" s="14" t="n"/>
      <c r="C302" s="14" t="n"/>
      <c r="D302" s="14" t="n"/>
      <c r="E302" s="17">
        <f>IFERROR(VLOOKUP(C302,Items!A:E,5,0),"")</f>
        <v/>
      </c>
    </row>
    <row r="303" ht="15" customHeight="1" s="12">
      <c r="A303" s="16" t="n"/>
      <c r="B303" s="14" t="n"/>
      <c r="C303" s="14" t="n"/>
      <c r="D303" s="14" t="n"/>
      <c r="E303" s="17">
        <f>IFERROR(VLOOKUP(C303,Items!A:E,5,0),"")</f>
        <v/>
      </c>
    </row>
    <row r="304" ht="15" customHeight="1" s="12">
      <c r="A304" s="16" t="n"/>
      <c r="B304" s="14" t="n"/>
      <c r="C304" s="14" t="n"/>
      <c r="D304" s="14" t="n"/>
      <c r="E304" s="17">
        <f>IFERROR(VLOOKUP(C304,Items!A:E,5,0),"")</f>
        <v/>
      </c>
    </row>
    <row r="305" ht="15" customHeight="1" s="12">
      <c r="A305" s="16" t="n"/>
      <c r="B305" s="14" t="n"/>
      <c r="C305" s="14" t="n"/>
      <c r="D305" s="14" t="n"/>
      <c r="E305" s="17">
        <f>IFERROR(VLOOKUP(C305,Items!A:E,5,0),"")</f>
        <v/>
      </c>
    </row>
    <row r="306" ht="15" customHeight="1" s="12">
      <c r="A306" s="16" t="n"/>
      <c r="B306" s="14" t="n"/>
      <c r="C306" s="14" t="n"/>
      <c r="D306" s="14" t="n"/>
      <c r="E306" s="17">
        <f>IFERROR(VLOOKUP(C306,Items!A:E,5,0),"")</f>
        <v/>
      </c>
    </row>
    <row r="307" ht="15" customHeight="1" s="12">
      <c r="A307" s="16" t="n"/>
      <c r="B307" s="14" t="n"/>
      <c r="C307" s="14" t="n"/>
      <c r="D307" s="14" t="n"/>
      <c r="E307" s="17">
        <f>IFERROR(VLOOKUP(C307,Items!A:E,5,0),"")</f>
        <v/>
      </c>
    </row>
    <row r="308" ht="15" customHeight="1" s="12">
      <c r="A308" s="16" t="n"/>
      <c r="B308" s="14" t="n"/>
      <c r="C308" s="14" t="n"/>
      <c r="D308" s="14" t="n"/>
      <c r="E308" s="17">
        <f>IFERROR(VLOOKUP(C308,Items!A:E,5,0),"")</f>
        <v/>
      </c>
    </row>
    <row r="309" ht="15" customHeight="1" s="12">
      <c r="A309" s="16" t="n"/>
      <c r="B309" s="14" t="n"/>
      <c r="C309" s="14" t="n"/>
      <c r="D309" s="14" t="n"/>
      <c r="E309" s="17">
        <f>IFERROR(VLOOKUP(C309,Items!A:E,5,0),"")</f>
        <v/>
      </c>
    </row>
    <row r="310" ht="15" customHeight="1" s="12">
      <c r="A310" s="16" t="n"/>
      <c r="B310" s="14" t="n"/>
      <c r="C310" s="14" t="n"/>
      <c r="D310" s="14" t="n"/>
      <c r="E310" s="17">
        <f>IFERROR(VLOOKUP(C310,Items!A:E,5,0),"")</f>
        <v/>
      </c>
    </row>
    <row r="311" ht="15" customHeight="1" s="12">
      <c r="A311" s="16" t="n"/>
      <c r="B311" s="14" t="n"/>
      <c r="C311" s="14" t="n"/>
      <c r="D311" s="14" t="n"/>
      <c r="E311" s="17">
        <f>IFERROR(VLOOKUP(C311,Items!A:E,5,0),"")</f>
        <v/>
      </c>
    </row>
    <row r="312" ht="15" customHeight="1" s="12">
      <c r="A312" s="16" t="n"/>
      <c r="B312" s="14" t="n"/>
      <c r="C312" s="14" t="n"/>
      <c r="D312" s="14" t="n"/>
      <c r="E312" s="17">
        <f>IFERROR(VLOOKUP(C312,Items!A:E,5,0),"")</f>
        <v/>
      </c>
    </row>
    <row r="313" ht="15" customHeight="1" s="12">
      <c r="A313" s="16" t="n"/>
      <c r="B313" s="14" t="n"/>
      <c r="C313" s="14" t="n"/>
      <c r="D313" s="14" t="n"/>
      <c r="E313" s="17">
        <f>IFERROR(VLOOKUP(C313,Items!A:E,5,0),"")</f>
        <v/>
      </c>
    </row>
    <row r="314" ht="15" customHeight="1" s="12">
      <c r="A314" s="16" t="n"/>
      <c r="B314" s="14" t="n"/>
      <c r="C314" s="14" t="n"/>
      <c r="D314" s="14" t="n"/>
      <c r="E314" s="17">
        <f>IFERROR(VLOOKUP(C314,Items!A:E,5,0),"")</f>
        <v/>
      </c>
    </row>
    <row r="315" ht="15" customHeight="1" s="12">
      <c r="A315" s="16" t="n"/>
      <c r="B315" s="14" t="n"/>
      <c r="C315" s="14" t="n"/>
      <c r="D315" s="14" t="n"/>
      <c r="E315" s="17">
        <f>IFERROR(VLOOKUP(C315,Items!A:E,5,0),"")</f>
        <v/>
      </c>
    </row>
    <row r="316" ht="15" customHeight="1" s="12">
      <c r="A316" s="16" t="n"/>
      <c r="B316" s="14" t="n"/>
      <c r="C316" s="14" t="n"/>
      <c r="D316" s="14" t="n"/>
      <c r="E316" s="17">
        <f>IFERROR(VLOOKUP(C316,Items!A:E,5,0),"")</f>
        <v/>
      </c>
    </row>
    <row r="317" ht="15" customHeight="1" s="12">
      <c r="A317" s="16" t="n"/>
      <c r="B317" s="14" t="n"/>
      <c r="C317" s="14" t="n"/>
      <c r="D317" s="14" t="n"/>
      <c r="E317" s="17">
        <f>IFERROR(VLOOKUP(C317,Items!A:E,5,0),"")</f>
        <v/>
      </c>
    </row>
    <row r="318" ht="15" customHeight="1" s="12">
      <c r="A318" s="16" t="n"/>
      <c r="B318" s="14" t="n"/>
      <c r="C318" s="14" t="n"/>
      <c r="D318" s="14" t="n"/>
      <c r="E318" s="17">
        <f>IFERROR(VLOOKUP(C318,Items!A:E,5,0),"")</f>
        <v/>
      </c>
    </row>
    <row r="319" ht="15" customHeight="1" s="12">
      <c r="A319" s="16" t="n"/>
      <c r="B319" s="14" t="n"/>
      <c r="C319" s="14" t="n"/>
      <c r="D319" s="14" t="n"/>
      <c r="E319" s="17">
        <f>IFERROR(VLOOKUP(C319,Items!A:E,5,0),"")</f>
        <v/>
      </c>
    </row>
    <row r="320" ht="15" customHeight="1" s="12">
      <c r="A320" s="16" t="n"/>
      <c r="B320" s="14" t="n"/>
      <c r="C320" s="14" t="n"/>
      <c r="D320" s="14" t="n"/>
      <c r="E320" s="17">
        <f>IFERROR(VLOOKUP(C320,Items!A:E,5,0),"")</f>
        <v/>
      </c>
    </row>
    <row r="321" ht="15" customHeight="1" s="12">
      <c r="A321" s="16" t="n"/>
      <c r="B321" s="14" t="n"/>
      <c r="C321" s="14" t="n"/>
      <c r="D321" s="14" t="n"/>
      <c r="E321" s="17">
        <f>IFERROR(VLOOKUP(C321,Items!A:E,5,0),"")</f>
        <v/>
      </c>
    </row>
    <row r="322" ht="15" customHeight="1" s="12">
      <c r="A322" s="16" t="n"/>
      <c r="B322" s="14" t="n"/>
      <c r="C322" s="14" t="n"/>
      <c r="D322" s="14" t="n"/>
      <c r="E322" s="17">
        <f>IFERROR(VLOOKUP(C322,Items!A:E,5,0),"")</f>
        <v/>
      </c>
    </row>
    <row r="323" ht="15" customHeight="1" s="12">
      <c r="A323" s="16" t="n"/>
      <c r="B323" s="14" t="n"/>
      <c r="C323" s="14" t="n"/>
      <c r="D323" s="14" t="n"/>
      <c r="E323" s="17">
        <f>IFERROR(VLOOKUP(C323,Items!A:E,5,0),"")</f>
        <v/>
      </c>
    </row>
    <row r="324" ht="15" customHeight="1" s="12">
      <c r="A324" s="16" t="n"/>
      <c r="B324" s="14" t="n"/>
      <c r="C324" s="14" t="n"/>
      <c r="D324" s="14" t="n"/>
      <c r="E324" s="17">
        <f>IFERROR(VLOOKUP(C324,Items!A:E,5,0),"")</f>
        <v/>
      </c>
    </row>
    <row r="325" ht="15" customHeight="1" s="12">
      <c r="A325" s="16" t="n"/>
      <c r="B325" s="14" t="n"/>
      <c r="C325" s="14" t="n"/>
      <c r="D325" s="14" t="n"/>
      <c r="E325" s="17">
        <f>IFERROR(VLOOKUP(C325,Items!A:E,5,0),"")</f>
        <v/>
      </c>
    </row>
    <row r="326" ht="15" customHeight="1" s="12">
      <c r="A326" s="16" t="n"/>
      <c r="B326" s="14" t="n"/>
      <c r="C326" s="14" t="n"/>
      <c r="D326" s="14" t="n"/>
      <c r="E326" s="17">
        <f>IFERROR(VLOOKUP(C326,Items!A:E,5,0),"")</f>
        <v/>
      </c>
    </row>
    <row r="327" ht="15" customHeight="1" s="12">
      <c r="A327" s="16" t="n"/>
      <c r="B327" s="14" t="n"/>
      <c r="C327" s="14" t="n"/>
      <c r="D327" s="14" t="n"/>
      <c r="E327" s="17">
        <f>IFERROR(VLOOKUP(C327,Items!A:E,5,0),"")</f>
        <v/>
      </c>
    </row>
    <row r="328" ht="15" customHeight="1" s="12">
      <c r="A328" s="16" t="n"/>
      <c r="B328" s="14" t="n"/>
      <c r="C328" s="14" t="n"/>
      <c r="D328" s="14" t="n"/>
      <c r="E328" s="17">
        <f>IFERROR(VLOOKUP(C328,Items!A:E,5,0),"")</f>
        <v/>
      </c>
    </row>
    <row r="329" ht="15" customHeight="1" s="12">
      <c r="A329" s="16" t="n"/>
      <c r="B329" s="14" t="n"/>
      <c r="C329" s="14" t="n"/>
      <c r="D329" s="14" t="n"/>
      <c r="E329" s="17">
        <f>IFERROR(VLOOKUP(C329,Items!A:E,5,0),"")</f>
        <v/>
      </c>
    </row>
    <row r="330" ht="15" customHeight="1" s="12">
      <c r="A330" s="16" t="n"/>
      <c r="B330" s="14" t="n"/>
      <c r="C330" s="14" t="n"/>
      <c r="D330" s="14" t="n"/>
      <c r="E330" s="17">
        <f>IFERROR(VLOOKUP(C330,Items!A:E,5,0),"")</f>
        <v/>
      </c>
    </row>
    <row r="331" ht="15" customHeight="1" s="12">
      <c r="A331" s="16" t="n"/>
      <c r="B331" s="14" t="n"/>
      <c r="C331" s="14" t="n"/>
      <c r="D331" s="14" t="n"/>
      <c r="E331" s="17">
        <f>IFERROR(VLOOKUP(C331,Items!A:E,5,0),"")</f>
        <v/>
      </c>
    </row>
    <row r="332" ht="15" customHeight="1" s="12">
      <c r="A332" s="16" t="n"/>
      <c r="B332" s="14" t="n"/>
      <c r="C332" s="14" t="n"/>
      <c r="D332" s="14" t="n"/>
      <c r="E332" s="17">
        <f>IFERROR(VLOOKUP(C332,Items!A:E,5,0),"")</f>
        <v/>
      </c>
    </row>
    <row r="333" ht="15" customHeight="1" s="12">
      <c r="A333" s="16" t="n"/>
      <c r="B333" s="14" t="n"/>
      <c r="C333" s="14" t="n"/>
      <c r="D333" s="14" t="n"/>
      <c r="E333" s="17">
        <f>IFERROR(VLOOKUP(C333,Items!A:E,5,0),"")</f>
        <v/>
      </c>
    </row>
    <row r="334" ht="15" customHeight="1" s="12">
      <c r="A334" s="16" t="n"/>
      <c r="B334" s="14" t="n"/>
      <c r="C334" s="14" t="n"/>
      <c r="D334" s="14" t="n"/>
      <c r="E334" s="17">
        <f>IFERROR(VLOOKUP(C334,Items!A:E,5,0),"")</f>
        <v/>
      </c>
    </row>
    <row r="335" ht="15" customHeight="1" s="12">
      <c r="A335" s="16" t="n"/>
      <c r="B335" s="14" t="n"/>
      <c r="C335" s="14" t="n"/>
      <c r="D335" s="14" t="n"/>
      <c r="E335" s="17">
        <f>IFERROR(VLOOKUP(C335,Items!A:E,5,0),"")</f>
        <v/>
      </c>
    </row>
    <row r="336" ht="15" customHeight="1" s="12">
      <c r="A336" s="16" t="n"/>
      <c r="B336" s="14" t="n"/>
      <c r="C336" s="14" t="n"/>
      <c r="D336" s="14" t="n"/>
      <c r="E336" s="17">
        <f>IFERROR(VLOOKUP(C336,Items!A:E,5,0),"")</f>
        <v/>
      </c>
    </row>
    <row r="337" ht="15" customHeight="1" s="12">
      <c r="A337" s="16" t="n"/>
      <c r="B337" s="14" t="n"/>
      <c r="C337" s="14" t="n"/>
      <c r="D337" s="14" t="n"/>
      <c r="E337" s="17">
        <f>IFERROR(VLOOKUP(C337,Items!A:E,5,0),"")</f>
        <v/>
      </c>
    </row>
    <row r="338" ht="15" customHeight="1" s="12">
      <c r="A338" s="16" t="n"/>
      <c r="B338" s="14" t="n"/>
      <c r="C338" s="14" t="n"/>
      <c r="D338" s="14" t="n"/>
      <c r="E338" s="17">
        <f>IFERROR(VLOOKUP(C338,Items!A:E,5,0),"")</f>
        <v/>
      </c>
    </row>
    <row r="339" ht="15" customHeight="1" s="12">
      <c r="A339" s="16" t="n"/>
      <c r="B339" s="14" t="n"/>
      <c r="C339" s="14" t="n"/>
      <c r="D339" s="14" t="n"/>
      <c r="E339" s="17">
        <f>IFERROR(VLOOKUP(C339,Items!A:E,5,0),"")</f>
        <v/>
      </c>
    </row>
    <row r="340" ht="15" customHeight="1" s="12">
      <c r="A340" s="16" t="n"/>
      <c r="B340" s="14" t="n"/>
      <c r="C340" s="14" t="n"/>
      <c r="D340" s="14" t="n"/>
      <c r="E340" s="17">
        <f>IFERROR(VLOOKUP(C340,Items!A:E,5,0),"")</f>
        <v/>
      </c>
    </row>
    <row r="341" ht="15" customHeight="1" s="12">
      <c r="A341" s="16" t="n"/>
      <c r="B341" s="14" t="n"/>
      <c r="C341" s="14" t="n"/>
      <c r="D341" s="14" t="n"/>
      <c r="E341" s="17">
        <f>IFERROR(VLOOKUP(C341,Items!A:E,5,0),"")</f>
        <v/>
      </c>
    </row>
    <row r="342" ht="15" customHeight="1" s="12">
      <c r="A342" s="16" t="n"/>
      <c r="B342" s="14" t="n"/>
      <c r="C342" s="14" t="n"/>
      <c r="D342" s="14" t="n"/>
      <c r="E342" s="17">
        <f>IFERROR(VLOOKUP(C342,Items!A:E,5,0),"")</f>
        <v/>
      </c>
    </row>
    <row r="343" ht="15" customHeight="1" s="12">
      <c r="A343" s="16" t="n"/>
      <c r="B343" s="14" t="n"/>
      <c r="C343" s="14" t="n"/>
      <c r="D343" s="14" t="n"/>
      <c r="E343" s="17">
        <f>IFERROR(VLOOKUP(C343,Items!A:E,5,0),"")</f>
        <v/>
      </c>
    </row>
    <row r="344" ht="15" customHeight="1" s="12">
      <c r="A344" s="16" t="n"/>
      <c r="B344" s="14" t="n"/>
      <c r="C344" s="14" t="n"/>
      <c r="D344" s="14" t="n"/>
      <c r="E344" s="17">
        <f>IFERROR(VLOOKUP(C344,Items!A:E,5,0),"")</f>
        <v/>
      </c>
    </row>
    <row r="345" ht="15" customHeight="1" s="12">
      <c r="A345" s="16" t="n"/>
      <c r="B345" s="14" t="n"/>
      <c r="C345" s="14" t="n"/>
      <c r="D345" s="14" t="n"/>
      <c r="E345" s="17">
        <f>IFERROR(VLOOKUP(C345,Items!A:E,5,0),"")</f>
        <v/>
      </c>
    </row>
    <row r="346" ht="15" customHeight="1" s="12">
      <c r="A346" s="16" t="n"/>
      <c r="B346" s="14" t="n"/>
      <c r="C346" s="14" t="n"/>
      <c r="D346" s="14" t="n"/>
      <c r="E346" s="17">
        <f>IFERROR(VLOOKUP(C346,Items!A:E,5,0),"")</f>
        <v/>
      </c>
    </row>
    <row r="347" ht="15" customHeight="1" s="12">
      <c r="A347" s="16" t="n"/>
      <c r="B347" s="14" t="n"/>
      <c r="C347" s="14" t="n"/>
      <c r="D347" s="14" t="n"/>
      <c r="E347" s="17">
        <f>IFERROR(VLOOKUP(C347,Items!A:E,5,0),"")</f>
        <v/>
      </c>
    </row>
    <row r="348" ht="15" customHeight="1" s="12">
      <c r="A348" s="16" t="n"/>
      <c r="B348" s="14" t="n"/>
      <c r="C348" s="14" t="n"/>
      <c r="D348" s="14" t="n"/>
      <c r="E348" s="17">
        <f>IFERROR(VLOOKUP(C348,Items!A:E,5,0),"")</f>
        <v/>
      </c>
    </row>
    <row r="349" ht="15" customHeight="1" s="12">
      <c r="A349" s="16" t="n"/>
      <c r="B349" s="14" t="n"/>
      <c r="C349" s="14" t="n"/>
      <c r="D349" s="14" t="n"/>
      <c r="E349" s="17">
        <f>IFERROR(VLOOKUP(C349,Items!A:E,5,0),"")</f>
        <v/>
      </c>
    </row>
    <row r="350" ht="15" customHeight="1" s="12">
      <c r="A350" s="16" t="n"/>
      <c r="B350" s="14" t="n"/>
      <c r="C350" s="14" t="n"/>
      <c r="D350" s="14" t="n"/>
      <c r="E350" s="17">
        <f>IFERROR(VLOOKUP(C350,Items!A:E,5,0),"")</f>
        <v/>
      </c>
    </row>
    <row r="351" ht="15" customHeight="1" s="12">
      <c r="A351" s="16" t="n"/>
      <c r="B351" s="14" t="n"/>
      <c r="C351" s="14" t="n"/>
      <c r="D351" s="14" t="n"/>
      <c r="E351" s="17">
        <f>IFERROR(VLOOKUP(C351,Items!A:E,5,0),"")</f>
        <v/>
      </c>
    </row>
    <row r="352" ht="15" customHeight="1" s="12">
      <c r="A352" s="16" t="n"/>
      <c r="B352" s="14" t="n"/>
      <c r="C352" s="14" t="n"/>
      <c r="D352" s="14" t="n"/>
      <c r="E352" s="17">
        <f>IFERROR(VLOOKUP(C352,Items!A:E,5,0),"")</f>
        <v/>
      </c>
    </row>
    <row r="353" ht="15" customHeight="1" s="12">
      <c r="A353" s="16" t="n"/>
      <c r="B353" s="14" t="n"/>
      <c r="C353" s="14" t="n"/>
      <c r="D353" s="14" t="n"/>
      <c r="E353" s="17">
        <f>IFERROR(VLOOKUP(C353,Items!A:E,5,0),"")</f>
        <v/>
      </c>
    </row>
    <row r="354" ht="15" customHeight="1" s="12">
      <c r="A354" s="16" t="n"/>
      <c r="B354" s="14" t="n"/>
      <c r="C354" s="14" t="n"/>
      <c r="D354" s="14" t="n"/>
      <c r="E354" s="17">
        <f>IFERROR(VLOOKUP(C354,Items!A:E,5,0),"")</f>
        <v/>
      </c>
    </row>
    <row r="355" ht="15" customHeight="1" s="12">
      <c r="A355" s="16" t="n"/>
      <c r="B355" s="14" t="n"/>
      <c r="C355" s="14" t="n"/>
      <c r="D355" s="14" t="n"/>
      <c r="E355" s="17">
        <f>IFERROR(VLOOKUP(C355,Items!A:E,5,0),"")</f>
        <v/>
      </c>
    </row>
    <row r="356" ht="15" customHeight="1" s="12">
      <c r="A356" s="16" t="n"/>
      <c r="B356" s="14" t="n"/>
      <c r="C356" s="14" t="n"/>
      <c r="D356" s="14" t="n"/>
      <c r="E356" s="17">
        <f>IFERROR(VLOOKUP(C356,Items!A:E,5,0),"")</f>
        <v/>
      </c>
    </row>
    <row r="357" ht="15" customHeight="1" s="12">
      <c r="A357" s="16" t="n"/>
      <c r="B357" s="14" t="n"/>
      <c r="C357" s="14" t="n"/>
      <c r="D357" s="14" t="n"/>
      <c r="E357" s="17">
        <f>IFERROR(VLOOKUP(C357,Items!A:E,5,0),"")</f>
        <v/>
      </c>
    </row>
    <row r="358" ht="15" customHeight="1" s="12">
      <c r="A358" s="16" t="n"/>
      <c r="B358" s="14" t="n"/>
      <c r="C358" s="14" t="n"/>
      <c r="D358" s="14" t="n"/>
      <c r="E358" s="17">
        <f>IFERROR(VLOOKUP(C358,Items!A:E,5,0),"")</f>
        <v/>
      </c>
    </row>
    <row r="359" ht="15" customHeight="1" s="12">
      <c r="A359" s="16" t="n"/>
      <c r="B359" s="14" t="n"/>
      <c r="C359" s="14" t="n"/>
      <c r="D359" s="14" t="n"/>
      <c r="E359" s="17">
        <f>IFERROR(VLOOKUP(C359,Items!A:E,5,0),"")</f>
        <v/>
      </c>
    </row>
    <row r="360" ht="15" customHeight="1" s="12">
      <c r="A360" s="16" t="n"/>
      <c r="B360" s="14" t="n"/>
      <c r="C360" s="14" t="n"/>
      <c r="D360" s="14" t="n"/>
      <c r="E360" s="17">
        <f>IFERROR(VLOOKUP(C360,Items!A:E,5,0),"")</f>
        <v/>
      </c>
    </row>
    <row r="361" ht="15" customHeight="1" s="12">
      <c r="A361" s="16" t="n"/>
      <c r="B361" s="14" t="n"/>
      <c r="C361" s="14" t="n"/>
      <c r="D361" s="14" t="n"/>
      <c r="E361" s="17">
        <f>IFERROR(VLOOKUP(C361,Items!A:E,5,0),"")</f>
        <v/>
      </c>
    </row>
    <row r="362" ht="15" customHeight="1" s="12">
      <c r="A362" s="16" t="n"/>
      <c r="B362" s="14" t="n"/>
      <c r="C362" s="14" t="n"/>
      <c r="D362" s="14" t="n"/>
      <c r="E362" s="17">
        <f>IFERROR(VLOOKUP(C362,Items!A:E,5,0),"")</f>
        <v/>
      </c>
    </row>
    <row r="363" ht="15" customHeight="1" s="12">
      <c r="A363" s="16" t="n"/>
      <c r="B363" s="14" t="n"/>
      <c r="C363" s="14" t="n"/>
      <c r="D363" s="14" t="n"/>
      <c r="E363" s="17">
        <f>IFERROR(VLOOKUP(C363,Items!A:E,5,0),"")</f>
        <v/>
      </c>
    </row>
    <row r="364" ht="15" customHeight="1" s="12">
      <c r="A364" s="16" t="n"/>
      <c r="B364" s="14" t="n"/>
      <c r="C364" s="14" t="n"/>
      <c r="D364" s="14" t="n"/>
      <c r="E364" s="17">
        <f>IFERROR(VLOOKUP(C364,Items!A:E,5,0),"")</f>
        <v/>
      </c>
    </row>
    <row r="365" ht="15" customHeight="1" s="12">
      <c r="A365" s="16" t="n"/>
      <c r="B365" s="14" t="n"/>
      <c r="C365" s="14" t="n"/>
      <c r="D365" s="14" t="n"/>
      <c r="E365" s="17">
        <f>IFERROR(VLOOKUP(C365,Items!A:E,5,0),"")</f>
        <v/>
      </c>
    </row>
    <row r="366" ht="15" customHeight="1" s="12">
      <c r="A366" s="16" t="n"/>
      <c r="B366" s="14" t="n"/>
      <c r="C366" s="14" t="n"/>
      <c r="D366" s="14" t="n"/>
      <c r="E366" s="17">
        <f>IFERROR(VLOOKUP(C366,Items!A:E,5,0),"")</f>
        <v/>
      </c>
    </row>
    <row r="367" ht="15" customHeight="1" s="12">
      <c r="A367" s="16" t="n"/>
      <c r="B367" s="14" t="n"/>
      <c r="C367" s="14" t="n"/>
      <c r="D367" s="14" t="n"/>
      <c r="E367" s="17">
        <f>IFERROR(VLOOKUP(C367,Items!A:E,5,0),"")</f>
        <v/>
      </c>
    </row>
    <row r="368" ht="15" customHeight="1" s="12">
      <c r="A368" s="16" t="n"/>
      <c r="B368" s="14" t="n"/>
      <c r="C368" s="14" t="n"/>
      <c r="D368" s="14" t="n"/>
      <c r="E368" s="17">
        <f>IFERROR(VLOOKUP(C368,Items!A:E,5,0),"")</f>
        <v/>
      </c>
    </row>
    <row r="369" ht="15" customHeight="1" s="12">
      <c r="A369" s="16" t="n"/>
      <c r="B369" s="14" t="n"/>
      <c r="C369" s="14" t="n"/>
      <c r="D369" s="14" t="n"/>
      <c r="E369" s="17">
        <f>IFERROR(VLOOKUP(C369,Items!A:E,5,0),"")</f>
        <v/>
      </c>
    </row>
    <row r="370" ht="15" customHeight="1" s="12">
      <c r="A370" s="16" t="n"/>
      <c r="B370" s="14" t="n"/>
      <c r="C370" s="14" t="n"/>
      <c r="D370" s="14" t="n"/>
      <c r="E370" s="17">
        <f>IFERROR(VLOOKUP(C370,Items!A:E,5,0),"")</f>
        <v/>
      </c>
    </row>
    <row r="371" ht="15" customHeight="1" s="12">
      <c r="A371" s="16" t="n"/>
      <c r="B371" s="14" t="n"/>
      <c r="C371" s="14" t="n"/>
      <c r="D371" s="14" t="n"/>
      <c r="E371" s="17">
        <f>IFERROR(VLOOKUP(C371,Items!A:E,5,0),"")</f>
        <v/>
      </c>
    </row>
    <row r="372" ht="15" customHeight="1" s="12">
      <c r="A372" s="16" t="n"/>
      <c r="B372" s="14" t="n"/>
      <c r="C372" s="14" t="n"/>
      <c r="D372" s="14" t="n"/>
      <c r="E372" s="17">
        <f>IFERROR(VLOOKUP(C372,Items!A:E,5,0),"")</f>
        <v/>
      </c>
    </row>
    <row r="373" ht="15" customHeight="1" s="12">
      <c r="A373" s="16" t="n"/>
      <c r="B373" s="14" t="n"/>
      <c r="C373" s="14" t="n"/>
      <c r="D373" s="14" t="n"/>
      <c r="E373" s="17">
        <f>IFERROR(VLOOKUP(C373,Items!A:E,5,0),"")</f>
        <v/>
      </c>
    </row>
    <row r="374" ht="15" customHeight="1" s="12">
      <c r="A374" s="16" t="n"/>
      <c r="B374" s="14" t="n"/>
      <c r="C374" s="14" t="n"/>
      <c r="D374" s="14" t="n"/>
      <c r="E374" s="17">
        <f>IFERROR(VLOOKUP(C374,Items!A:E,5,0),"")</f>
        <v/>
      </c>
    </row>
    <row r="375" ht="15" customHeight="1" s="12">
      <c r="A375" s="16" t="n"/>
      <c r="B375" s="14" t="n"/>
      <c r="C375" s="14" t="n"/>
      <c r="D375" s="14" t="n"/>
      <c r="E375" s="17">
        <f>IFERROR(VLOOKUP(C375,Items!A:E,5,0),"")</f>
        <v/>
      </c>
    </row>
    <row r="376" ht="15" customHeight="1" s="12">
      <c r="A376" s="16" t="n"/>
      <c r="B376" s="14" t="n"/>
      <c r="C376" s="14" t="n"/>
      <c r="D376" s="14" t="n"/>
      <c r="E376" s="17">
        <f>IFERROR(VLOOKUP(C376,Items!A:E,5,0),"")</f>
        <v/>
      </c>
    </row>
    <row r="377" ht="15" customHeight="1" s="12">
      <c r="A377" s="16" t="n"/>
      <c r="B377" s="14" t="n"/>
      <c r="C377" s="14" t="n"/>
      <c r="D377" s="14" t="n"/>
      <c r="E377" s="17">
        <f>IFERROR(VLOOKUP(C377,Items!A:E,5,0),"")</f>
        <v/>
      </c>
    </row>
    <row r="378" ht="15" customHeight="1" s="12">
      <c r="A378" s="16" t="n"/>
      <c r="B378" s="14" t="n"/>
      <c r="C378" s="14" t="n"/>
      <c r="D378" s="14" t="n"/>
      <c r="E378" s="17">
        <f>IFERROR(VLOOKUP(C378,Items!A:E,5,0),"")</f>
        <v/>
      </c>
    </row>
    <row r="379" ht="15" customHeight="1" s="12">
      <c r="A379" s="16" t="n"/>
      <c r="B379" s="14" t="n"/>
      <c r="C379" s="14" t="n"/>
      <c r="D379" s="14" t="n"/>
      <c r="E379" s="17">
        <f>IFERROR(VLOOKUP(C379,Items!A:E,5,0),"")</f>
        <v/>
      </c>
    </row>
    <row r="380" ht="15" customHeight="1" s="12">
      <c r="A380" s="16" t="n"/>
      <c r="B380" s="14" t="n"/>
      <c r="C380" s="14" t="n"/>
      <c r="D380" s="14" t="n"/>
      <c r="E380" s="17">
        <f>IFERROR(VLOOKUP(C380,Items!A:E,5,0),"")</f>
        <v/>
      </c>
    </row>
    <row r="381" ht="15" customHeight="1" s="12">
      <c r="A381" s="16" t="n"/>
      <c r="B381" s="14" t="n"/>
      <c r="C381" s="14" t="n"/>
      <c r="D381" s="14" t="n"/>
      <c r="E381" s="17">
        <f>IFERROR(VLOOKUP(C381,Items!A:E,5,0),"")</f>
        <v/>
      </c>
    </row>
    <row r="382" ht="15" customHeight="1" s="12">
      <c r="A382" s="16" t="n"/>
      <c r="B382" s="14" t="n"/>
      <c r="C382" s="14" t="n"/>
      <c r="D382" s="14" t="n"/>
      <c r="E382" s="17">
        <f>IFERROR(VLOOKUP(C382,Items!A:E,5,0),"")</f>
        <v/>
      </c>
    </row>
    <row r="383" ht="15" customHeight="1" s="12">
      <c r="A383" s="16" t="n"/>
      <c r="B383" s="14" t="n"/>
      <c r="C383" s="14" t="n"/>
      <c r="D383" s="14" t="n"/>
      <c r="E383" s="17">
        <f>IFERROR(VLOOKUP(C383,Items!A:E,5,0),"")</f>
        <v/>
      </c>
    </row>
    <row r="384" ht="15" customHeight="1" s="12">
      <c r="A384" s="16" t="n"/>
      <c r="B384" s="14" t="n"/>
      <c r="C384" s="14" t="n"/>
      <c r="D384" s="14" t="n"/>
      <c r="E384" s="17">
        <f>IFERROR(VLOOKUP(C384,Items!A:E,5,0),"")</f>
        <v/>
      </c>
    </row>
    <row r="385" ht="15" customHeight="1" s="12">
      <c r="A385" s="16" t="n"/>
      <c r="B385" s="14" t="n"/>
      <c r="C385" s="14" t="n"/>
      <c r="D385" s="14" t="n"/>
      <c r="E385" s="17">
        <f>IFERROR(VLOOKUP(C385,Items!A:E,5,0),"")</f>
        <v/>
      </c>
    </row>
    <row r="386" ht="15" customHeight="1" s="12">
      <c r="A386" s="16" t="n"/>
      <c r="B386" s="14" t="n"/>
      <c r="C386" s="14" t="n"/>
      <c r="D386" s="14" t="n"/>
      <c r="E386" s="17">
        <f>IFERROR(VLOOKUP(C386,Items!A:E,5,0),"")</f>
        <v/>
      </c>
    </row>
    <row r="387" ht="15" customHeight="1" s="12">
      <c r="A387" s="16" t="n"/>
      <c r="B387" s="14" t="n"/>
      <c r="C387" s="14" t="n"/>
      <c r="D387" s="14" t="n"/>
      <c r="E387" s="17">
        <f>IFERROR(VLOOKUP(C387,Items!A:E,5,0),"")</f>
        <v/>
      </c>
    </row>
    <row r="388" ht="15" customHeight="1" s="12">
      <c r="A388" s="16" t="n"/>
      <c r="B388" s="14" t="n"/>
      <c r="C388" s="14" t="n"/>
      <c r="D388" s="14" t="n"/>
      <c r="E388" s="17">
        <f>IFERROR(VLOOKUP(C388,Items!A:E,5,0),"")</f>
        <v/>
      </c>
    </row>
    <row r="389" ht="15" customHeight="1" s="12">
      <c r="A389" s="16" t="n"/>
      <c r="B389" s="14" t="n"/>
      <c r="C389" s="14" t="n"/>
      <c r="D389" s="14" t="n"/>
      <c r="E389" s="17">
        <f>IFERROR(VLOOKUP(C389,Items!A:E,5,0),"")</f>
        <v/>
      </c>
    </row>
    <row r="390" ht="15" customHeight="1" s="12">
      <c r="A390" s="16" t="n"/>
      <c r="B390" s="14" t="n"/>
      <c r="C390" s="14" t="n"/>
      <c r="D390" s="14" t="n"/>
      <c r="E390" s="17">
        <f>IFERROR(VLOOKUP(C390,Items!A:E,5,0),"")</f>
        <v/>
      </c>
    </row>
    <row r="391" ht="15" customHeight="1" s="12">
      <c r="A391" s="16" t="n"/>
      <c r="B391" s="14" t="n"/>
      <c r="C391" s="14" t="n"/>
      <c r="D391" s="14" t="n"/>
      <c r="E391" s="17">
        <f>IFERROR(VLOOKUP(C391,Items!A:E,5,0),"")</f>
        <v/>
      </c>
    </row>
    <row r="392" ht="15" customHeight="1" s="12">
      <c r="A392" s="16" t="n"/>
      <c r="B392" s="14" t="n"/>
      <c r="C392" s="14" t="n"/>
      <c r="D392" s="14" t="n"/>
      <c r="E392" s="17">
        <f>IFERROR(VLOOKUP(C392,Items!A:E,5,0),"")</f>
        <v/>
      </c>
    </row>
    <row r="393" ht="15" customHeight="1" s="12">
      <c r="A393" s="16" t="n"/>
      <c r="B393" s="14" t="n"/>
      <c r="C393" s="14" t="n"/>
      <c r="D393" s="14" t="n"/>
      <c r="E393" s="17">
        <f>IFERROR(VLOOKUP(C393,Items!A:E,5,0),"")</f>
        <v/>
      </c>
    </row>
    <row r="394" ht="15" customHeight="1" s="12">
      <c r="A394" s="16" t="n"/>
      <c r="B394" s="14" t="n"/>
      <c r="C394" s="14" t="n"/>
      <c r="D394" s="14" t="n"/>
      <c r="E394" s="17">
        <f>IFERROR(VLOOKUP(C394,Items!A:E,5,0),"")</f>
        <v/>
      </c>
    </row>
    <row r="395" ht="15" customHeight="1" s="12">
      <c r="A395" s="16" t="n"/>
      <c r="B395" s="14" t="n"/>
      <c r="C395" s="14" t="n"/>
      <c r="D395" s="14" t="n"/>
      <c r="E395" s="17">
        <f>IFERROR(VLOOKUP(C395,Items!A:E,5,0),"")</f>
        <v/>
      </c>
    </row>
    <row r="396" ht="15" customHeight="1" s="12">
      <c r="A396" s="16" t="n"/>
      <c r="B396" s="14" t="n"/>
      <c r="C396" s="14" t="n"/>
      <c r="D396" s="14" t="n"/>
      <c r="E396" s="17">
        <f>IFERROR(VLOOKUP(C396,Items!A:E,5,0),"")</f>
        <v/>
      </c>
    </row>
    <row r="397" ht="15" customHeight="1" s="12">
      <c r="A397" s="16" t="n"/>
      <c r="B397" s="14" t="n"/>
      <c r="C397" s="14" t="n"/>
      <c r="D397" s="14" t="n"/>
      <c r="E397" s="17">
        <f>IFERROR(VLOOKUP(C397,Items!A:E,5,0),"")</f>
        <v/>
      </c>
    </row>
    <row r="398" ht="15" customHeight="1" s="12">
      <c r="A398" s="16" t="n"/>
      <c r="B398" s="14" t="n"/>
      <c r="C398" s="14" t="n"/>
      <c r="D398" s="14" t="n"/>
      <c r="E398" s="17">
        <f>IFERROR(VLOOKUP(C398,Items!A:E,5,0),"")</f>
        <v/>
      </c>
    </row>
    <row r="399" ht="15" customHeight="1" s="12">
      <c r="A399" s="16" t="n"/>
      <c r="B399" s="14" t="n"/>
      <c r="C399" s="14" t="n"/>
      <c r="D399" s="14" t="n"/>
      <c r="E399" s="17">
        <f>IFERROR(VLOOKUP(C399,Items!A:E,5,0),"")</f>
        <v/>
      </c>
    </row>
    <row r="400" ht="15" customHeight="1" s="12">
      <c r="A400" s="16" t="n"/>
      <c r="B400" s="14" t="n"/>
      <c r="C400" s="14" t="n"/>
      <c r="D400" s="14" t="n"/>
      <c r="E400" s="17">
        <f>IFERROR(VLOOKUP(C400,Items!A:E,5,0),"")</f>
        <v/>
      </c>
    </row>
    <row r="401" ht="15" customHeight="1" s="12">
      <c r="A401" s="16" t="n"/>
      <c r="B401" s="14" t="n"/>
      <c r="C401" s="14" t="n"/>
      <c r="D401" s="14" t="n"/>
      <c r="E401" s="17">
        <f>IFERROR(VLOOKUP(C401,Items!A:E,5,0),"")</f>
        <v/>
      </c>
    </row>
    <row r="402" ht="15" customHeight="1" s="12">
      <c r="A402" s="16" t="n"/>
      <c r="B402" s="14" t="n"/>
      <c r="C402" s="14" t="n"/>
      <c r="D402" s="14" t="n"/>
      <c r="E402" s="17">
        <f>IFERROR(VLOOKUP(C402,Items!A:E,5,0),"")</f>
        <v/>
      </c>
    </row>
    <row r="403" ht="15" customHeight="1" s="12">
      <c r="A403" s="16" t="n"/>
      <c r="B403" s="14" t="n"/>
      <c r="C403" s="14" t="n"/>
      <c r="D403" s="14" t="n"/>
      <c r="E403" s="17">
        <f>IFERROR(VLOOKUP(C403,Items!A:E,5,0),"")</f>
        <v/>
      </c>
    </row>
    <row r="404" ht="15" customHeight="1" s="12">
      <c r="A404" s="16" t="n"/>
      <c r="B404" s="14" t="n"/>
      <c r="C404" s="14" t="n"/>
      <c r="D404" s="14" t="n"/>
      <c r="E404" s="17">
        <f>IFERROR(VLOOKUP(C404,Items!A:E,5,0),"")</f>
        <v/>
      </c>
    </row>
    <row r="405" ht="15" customHeight="1" s="12">
      <c r="A405" s="16" t="n"/>
      <c r="B405" s="14" t="n"/>
      <c r="C405" s="14" t="n"/>
      <c r="D405" s="14" t="n"/>
      <c r="E405" s="17">
        <f>IFERROR(VLOOKUP(C405,Items!A:E,5,0),"")</f>
        <v/>
      </c>
    </row>
    <row r="406" ht="15" customHeight="1" s="12">
      <c r="A406" s="16" t="n"/>
      <c r="B406" s="14" t="n"/>
      <c r="C406" s="14" t="n"/>
      <c r="D406" s="14" t="n"/>
      <c r="E406" s="17">
        <f>IFERROR(VLOOKUP(C406,Items!A:E,5,0),"")</f>
        <v/>
      </c>
    </row>
    <row r="407" ht="15" customHeight="1" s="12">
      <c r="A407" s="16" t="n"/>
      <c r="B407" s="14" t="n"/>
      <c r="C407" s="14" t="n"/>
      <c r="D407" s="14" t="n"/>
      <c r="E407" s="17">
        <f>IFERROR(VLOOKUP(C407,Items!A:E,5,0),"")</f>
        <v/>
      </c>
    </row>
    <row r="408" ht="15" customHeight="1" s="12">
      <c r="A408" s="16" t="n"/>
      <c r="B408" s="14" t="n"/>
      <c r="C408" s="14" t="n"/>
      <c r="D408" s="14" t="n"/>
      <c r="E408" s="17">
        <f>IFERROR(VLOOKUP(C408,Items!A:E,5,0),"")</f>
        <v/>
      </c>
    </row>
    <row r="409" ht="15" customHeight="1" s="12">
      <c r="A409" s="16" t="n"/>
      <c r="B409" s="14" t="n"/>
      <c r="C409" s="14" t="n"/>
      <c r="D409" s="14" t="n"/>
      <c r="E409" s="17">
        <f>IFERROR(VLOOKUP(C409,Items!A:E,5,0),"")</f>
        <v/>
      </c>
    </row>
    <row r="410" ht="15" customHeight="1" s="12">
      <c r="A410" s="16" t="n"/>
      <c r="B410" s="14" t="n"/>
      <c r="C410" s="14" t="n"/>
      <c r="D410" s="14" t="n"/>
      <c r="E410" s="17">
        <f>IFERROR(VLOOKUP(C410,Items!A:E,5,0),"")</f>
        <v/>
      </c>
    </row>
    <row r="411" ht="15" customHeight="1" s="12">
      <c r="A411" s="16" t="n"/>
      <c r="B411" s="14" t="n"/>
      <c r="C411" s="14" t="n"/>
      <c r="D411" s="14" t="n"/>
      <c r="E411" s="17">
        <f>IFERROR(VLOOKUP(C411,Items!A:E,5,0),"")</f>
        <v/>
      </c>
    </row>
    <row r="412" ht="15" customHeight="1" s="12">
      <c r="A412" s="16" t="n"/>
      <c r="B412" s="14" t="n"/>
      <c r="C412" s="14" t="n"/>
      <c r="D412" s="14" t="n"/>
      <c r="E412" s="17">
        <f>IFERROR(VLOOKUP(C412,Items!A:E,5,0),"")</f>
        <v/>
      </c>
    </row>
    <row r="413" ht="15" customHeight="1" s="12">
      <c r="A413" s="16" t="n"/>
      <c r="B413" s="14" t="n"/>
      <c r="C413" s="14" t="n"/>
      <c r="D413" s="14" t="n"/>
      <c r="E413" s="17">
        <f>IFERROR(VLOOKUP(C413,Items!A:E,5,0),"")</f>
        <v/>
      </c>
    </row>
    <row r="414" ht="15" customHeight="1" s="12">
      <c r="A414" s="16" t="n"/>
      <c r="B414" s="14" t="n"/>
      <c r="C414" s="14" t="n"/>
      <c r="D414" s="14" t="n"/>
      <c r="E414" s="17">
        <f>IFERROR(VLOOKUP(C414,Items!A:E,5,0),"")</f>
        <v/>
      </c>
    </row>
    <row r="415" ht="15" customHeight="1" s="12">
      <c r="A415" s="16" t="n"/>
      <c r="B415" s="14" t="n"/>
      <c r="C415" s="14" t="n"/>
      <c r="D415" s="14" t="n"/>
      <c r="E415" s="17">
        <f>IFERROR(VLOOKUP(C415,Items!A:E,5,0),"")</f>
        <v/>
      </c>
    </row>
    <row r="416" ht="15" customHeight="1" s="12">
      <c r="A416" s="16" t="n"/>
      <c r="B416" s="14" t="n"/>
      <c r="C416" s="14" t="n"/>
      <c r="D416" s="14" t="n"/>
      <c r="E416" s="17">
        <f>IFERROR(VLOOKUP(C416,Items!A:E,5,0),"")</f>
        <v/>
      </c>
    </row>
    <row r="417" ht="15" customHeight="1" s="12">
      <c r="A417" s="16" t="n"/>
      <c r="B417" s="14" t="n"/>
      <c r="C417" s="14" t="n"/>
      <c r="D417" s="14" t="n"/>
      <c r="E417" s="17">
        <f>IFERROR(VLOOKUP(C417,Items!A:E,5,0),"")</f>
        <v/>
      </c>
    </row>
    <row r="418" ht="15" customHeight="1" s="12">
      <c r="A418" s="16" t="n"/>
      <c r="B418" s="14" t="n"/>
      <c r="C418" s="14" t="n"/>
      <c r="D418" s="14" t="n"/>
      <c r="E418" s="17">
        <f>IFERROR(VLOOKUP(C418,Items!A:E,5,0),"")</f>
        <v/>
      </c>
    </row>
    <row r="419" ht="15" customHeight="1" s="12">
      <c r="A419" s="16" t="n"/>
      <c r="B419" s="14" t="n"/>
      <c r="C419" s="14" t="n"/>
      <c r="D419" s="14" t="n"/>
      <c r="E419" s="17">
        <f>IFERROR(VLOOKUP(C419,Items!A:E,5,0),"")</f>
        <v/>
      </c>
    </row>
    <row r="420" ht="15" customHeight="1" s="12">
      <c r="A420" s="16" t="n"/>
      <c r="B420" s="14" t="n"/>
      <c r="C420" s="14" t="n"/>
      <c r="D420" s="14" t="n"/>
      <c r="E420" s="17">
        <f>IFERROR(VLOOKUP(C420,Items!A:E,5,0),"")</f>
        <v/>
      </c>
    </row>
    <row r="421" ht="15" customHeight="1" s="12">
      <c r="A421" s="16" t="n"/>
      <c r="B421" s="14" t="n"/>
      <c r="C421" s="14" t="n"/>
      <c r="D421" s="14" t="n"/>
      <c r="E421" s="17">
        <f>IFERROR(VLOOKUP(C421,Items!A:E,5,0),"")</f>
        <v/>
      </c>
    </row>
    <row r="422" ht="15" customHeight="1" s="12">
      <c r="A422" s="16" t="n"/>
      <c r="B422" s="14" t="n"/>
      <c r="C422" s="14" t="n"/>
      <c r="D422" s="14" t="n"/>
      <c r="E422" s="17">
        <f>IFERROR(VLOOKUP(C422,Items!A:E,5,0),"")</f>
        <v/>
      </c>
    </row>
    <row r="423" ht="15" customHeight="1" s="12">
      <c r="A423" s="16" t="n"/>
      <c r="B423" s="14" t="n"/>
      <c r="C423" s="14" t="n"/>
      <c r="D423" s="14" t="n"/>
      <c r="E423" s="17">
        <f>IFERROR(VLOOKUP(C423,Items!A:E,5,0),"")</f>
        <v/>
      </c>
    </row>
    <row r="424" ht="15" customHeight="1" s="12">
      <c r="A424" s="16" t="n"/>
      <c r="B424" s="14" t="n"/>
      <c r="C424" s="14" t="n"/>
      <c r="D424" s="14" t="n"/>
      <c r="E424" s="17">
        <f>IFERROR(VLOOKUP(C424,Items!A:E,5,0),"")</f>
        <v/>
      </c>
    </row>
    <row r="425" ht="15" customHeight="1" s="12">
      <c r="A425" s="16" t="n"/>
      <c r="B425" s="14" t="n"/>
      <c r="C425" s="14" t="n"/>
      <c r="D425" s="14" t="n"/>
      <c r="E425" s="17">
        <f>IFERROR(VLOOKUP(C425,Items!A:E,5,0),"")</f>
        <v/>
      </c>
    </row>
    <row r="426" ht="15" customHeight="1" s="12">
      <c r="A426" s="16" t="n"/>
      <c r="B426" s="14" t="n"/>
      <c r="C426" s="14" t="n"/>
      <c r="D426" s="14" t="n"/>
      <c r="E426" s="17">
        <f>IFERROR(VLOOKUP(C426,Items!A:E,5,0),"")</f>
        <v/>
      </c>
    </row>
    <row r="427" ht="15" customHeight="1" s="12">
      <c r="A427" s="16" t="n"/>
      <c r="B427" s="14" t="n"/>
      <c r="C427" s="14" t="n"/>
      <c r="D427" s="14" t="n"/>
      <c r="E427" s="17">
        <f>IFERROR(VLOOKUP(C427,Items!A:E,5,0),"")</f>
        <v/>
      </c>
    </row>
    <row r="428" ht="15" customHeight="1" s="12">
      <c r="A428" s="16" t="n"/>
      <c r="B428" s="14" t="n"/>
      <c r="C428" s="14" t="n"/>
      <c r="D428" s="14" t="n"/>
      <c r="E428" s="17">
        <f>IFERROR(VLOOKUP(C428,Items!A:E,5,0),"")</f>
        <v/>
      </c>
    </row>
    <row r="429" ht="15" customHeight="1" s="12">
      <c r="A429" s="16" t="n"/>
      <c r="B429" s="14" t="n"/>
      <c r="C429" s="14" t="n"/>
      <c r="D429" s="14" t="n"/>
      <c r="E429" s="17">
        <f>IFERROR(VLOOKUP(C429,Items!A:E,5,0),"")</f>
        <v/>
      </c>
    </row>
    <row r="430" ht="15" customHeight="1" s="12">
      <c r="A430" s="16" t="n"/>
      <c r="B430" s="14" t="n"/>
      <c r="C430" s="14" t="n"/>
      <c r="D430" s="14" t="n"/>
      <c r="E430" s="17">
        <f>IFERROR(VLOOKUP(C430,Items!A:E,5,0),"")</f>
        <v/>
      </c>
    </row>
    <row r="431" ht="15" customHeight="1" s="12">
      <c r="A431" s="16" t="n"/>
      <c r="B431" s="14" t="n"/>
      <c r="C431" s="14" t="n"/>
      <c r="D431" s="14" t="n"/>
      <c r="E431" s="17">
        <f>IFERROR(VLOOKUP(C431,Items!A:E,5,0),"")</f>
        <v/>
      </c>
    </row>
    <row r="432" ht="15" customHeight="1" s="12">
      <c r="A432" s="16" t="n"/>
      <c r="B432" s="14" t="n"/>
      <c r="C432" s="14" t="n"/>
      <c r="D432" s="14" t="n"/>
      <c r="E432" s="17">
        <f>IFERROR(VLOOKUP(C432,Items!A:E,5,0),"")</f>
        <v/>
      </c>
    </row>
    <row r="433" ht="15" customHeight="1" s="12">
      <c r="A433" s="16" t="n"/>
      <c r="B433" s="14" t="n"/>
      <c r="C433" s="14" t="n"/>
      <c r="D433" s="14" t="n"/>
      <c r="E433" s="17">
        <f>IFERROR(VLOOKUP(C433,Items!A:E,5,0),"")</f>
        <v/>
      </c>
    </row>
    <row r="434" ht="15" customHeight="1" s="12">
      <c r="A434" s="16" t="n"/>
      <c r="B434" s="14" t="n"/>
      <c r="C434" s="14" t="n"/>
      <c r="D434" s="14" t="n"/>
      <c r="E434" s="17">
        <f>IFERROR(VLOOKUP(C434,Items!A:E,5,0),"")</f>
        <v/>
      </c>
    </row>
    <row r="435" ht="15" customHeight="1" s="12">
      <c r="A435" s="16" t="n"/>
      <c r="B435" s="14" t="n"/>
      <c r="C435" s="14" t="n"/>
      <c r="D435" s="14" t="n"/>
      <c r="E435" s="17">
        <f>IFERROR(VLOOKUP(C435,Items!A:E,5,0),"")</f>
        <v/>
      </c>
    </row>
    <row r="436" ht="15" customHeight="1" s="12">
      <c r="A436" s="16" t="n"/>
      <c r="B436" s="14" t="n"/>
      <c r="C436" s="14" t="n"/>
      <c r="D436" s="14" t="n"/>
      <c r="E436" s="17">
        <f>IFERROR(VLOOKUP(C436,Items!A:E,5,0),"")</f>
        <v/>
      </c>
    </row>
    <row r="437" ht="15" customHeight="1" s="12">
      <c r="A437" s="16" t="n"/>
      <c r="B437" s="14" t="n"/>
      <c r="C437" s="14" t="n"/>
      <c r="D437" s="14" t="n"/>
      <c r="E437" s="17">
        <f>IFERROR(VLOOKUP(C437,Items!A:E,5,0),"")</f>
        <v/>
      </c>
    </row>
    <row r="438" ht="15" customHeight="1" s="12">
      <c r="A438" s="16" t="n"/>
      <c r="B438" s="14" t="n"/>
      <c r="C438" s="14" t="n"/>
      <c r="D438" s="14" t="n"/>
      <c r="E438" s="17">
        <f>IFERROR(VLOOKUP(C438,Items!A:E,5,0),"")</f>
        <v/>
      </c>
    </row>
    <row r="439" ht="15" customHeight="1" s="12">
      <c r="A439" s="16" t="n"/>
      <c r="B439" s="14" t="n"/>
      <c r="C439" s="14" t="n"/>
      <c r="D439" s="14" t="n"/>
      <c r="E439" s="17">
        <f>IFERROR(VLOOKUP(C439,Items!A:E,5,0),"")</f>
        <v/>
      </c>
    </row>
    <row r="440" ht="15" customHeight="1" s="12">
      <c r="A440" s="16" t="n"/>
      <c r="B440" s="14" t="n"/>
      <c r="C440" s="14" t="n"/>
      <c r="D440" s="14" t="n"/>
      <c r="E440" s="17">
        <f>IFERROR(VLOOKUP(C440,Items!A:E,5,0),"")</f>
        <v/>
      </c>
    </row>
    <row r="441" ht="15" customHeight="1" s="12">
      <c r="A441" s="16" t="n"/>
      <c r="B441" s="14" t="n"/>
      <c r="C441" s="14" t="n"/>
      <c r="D441" s="14" t="n"/>
      <c r="E441" s="17">
        <f>IFERROR(VLOOKUP(C441,Items!A:E,5,0),"")</f>
        <v/>
      </c>
    </row>
    <row r="442" ht="15" customHeight="1" s="12">
      <c r="A442" s="16" t="n"/>
      <c r="B442" s="14" t="n"/>
      <c r="C442" s="14" t="n"/>
      <c r="D442" s="14" t="n"/>
      <c r="E442" s="17">
        <f>IFERROR(VLOOKUP(C442,Items!A:E,5,0),"")</f>
        <v/>
      </c>
    </row>
    <row r="443" ht="15" customHeight="1" s="12">
      <c r="A443" s="16" t="n"/>
      <c r="B443" s="14" t="n"/>
      <c r="C443" s="14" t="n"/>
      <c r="D443" s="14" t="n"/>
      <c r="E443" s="17">
        <f>IFERROR(VLOOKUP(C443,Items!A:E,5,0),"")</f>
        <v/>
      </c>
    </row>
    <row r="444" ht="15" customHeight="1" s="12">
      <c r="A444" s="16" t="n"/>
      <c r="B444" s="14" t="n"/>
      <c r="C444" s="14" t="n"/>
      <c r="D444" s="14" t="n"/>
      <c r="E444" s="17">
        <f>IFERROR(VLOOKUP(C444,Items!A:E,5,0),"")</f>
        <v/>
      </c>
    </row>
    <row r="445" ht="15" customHeight="1" s="12">
      <c r="A445" s="16" t="n"/>
      <c r="B445" s="14" t="n"/>
      <c r="C445" s="14" t="n"/>
      <c r="D445" s="14" t="n"/>
      <c r="E445" s="17">
        <f>IFERROR(VLOOKUP(C445,Items!A:E,5,0),"")</f>
        <v/>
      </c>
    </row>
    <row r="446" ht="15" customHeight="1" s="12">
      <c r="A446" s="16" t="n"/>
      <c r="B446" s="14" t="n"/>
      <c r="C446" s="14" t="n"/>
      <c r="D446" s="14" t="n"/>
      <c r="E446" s="17">
        <f>IFERROR(VLOOKUP(C446,Items!A:E,5,0),"")</f>
        <v/>
      </c>
    </row>
    <row r="447" ht="15" customHeight="1" s="12">
      <c r="A447" s="16" t="n"/>
      <c r="B447" s="14" t="n"/>
      <c r="C447" s="14" t="n"/>
      <c r="D447" s="14" t="n"/>
      <c r="E447" s="17">
        <f>IFERROR(VLOOKUP(C447,Items!A:E,5,0),"")</f>
        <v/>
      </c>
    </row>
    <row r="448" ht="15" customHeight="1" s="12">
      <c r="A448" s="16" t="n"/>
      <c r="B448" s="14" t="n"/>
      <c r="C448" s="14" t="n"/>
      <c r="D448" s="14" t="n"/>
      <c r="E448" s="17">
        <f>IFERROR(VLOOKUP(C448,Items!A:E,5,0),"")</f>
        <v/>
      </c>
    </row>
    <row r="449" ht="15" customHeight="1" s="12">
      <c r="A449" s="16" t="n"/>
      <c r="B449" s="14" t="n"/>
      <c r="C449" s="14" t="n"/>
      <c r="D449" s="14" t="n"/>
      <c r="E449" s="17">
        <f>IFERROR(VLOOKUP(C449,Items!A:E,5,0),"")</f>
        <v/>
      </c>
    </row>
    <row r="450" ht="15" customHeight="1" s="12">
      <c r="A450" s="16" t="n"/>
      <c r="B450" s="14" t="n"/>
      <c r="C450" s="14" t="n"/>
      <c r="D450" s="14" t="n"/>
      <c r="E450" s="17">
        <f>IFERROR(VLOOKUP(C450,Items!A:E,5,0),"")</f>
        <v/>
      </c>
    </row>
    <row r="451" ht="15" customHeight="1" s="12">
      <c r="A451" s="16" t="n"/>
      <c r="B451" s="14" t="n"/>
      <c r="C451" s="14" t="n"/>
      <c r="D451" s="14" t="n"/>
      <c r="E451" s="17">
        <f>IFERROR(VLOOKUP(C451,Items!A:E,5,0),"")</f>
        <v/>
      </c>
    </row>
    <row r="452" ht="15" customHeight="1" s="12">
      <c r="A452" s="16" t="n"/>
      <c r="B452" s="14" t="n"/>
      <c r="C452" s="14" t="n"/>
      <c r="D452" s="14" t="n"/>
      <c r="E452" s="17">
        <f>IFERROR(VLOOKUP(C452,Items!A:E,5,0),"")</f>
        <v/>
      </c>
    </row>
    <row r="453" ht="15" customHeight="1" s="12">
      <c r="A453" s="16" t="n"/>
      <c r="B453" s="14" t="n"/>
      <c r="C453" s="14" t="n"/>
      <c r="D453" s="14" t="n"/>
      <c r="E453" s="17">
        <f>IFERROR(VLOOKUP(C453,Items!A:E,5,0),"")</f>
        <v/>
      </c>
    </row>
    <row r="454" ht="15" customHeight="1" s="12">
      <c r="A454" s="16" t="n"/>
      <c r="B454" s="14" t="n"/>
      <c r="C454" s="14" t="n"/>
      <c r="D454" s="14" t="n"/>
      <c r="E454" s="17">
        <f>IFERROR(VLOOKUP(C454,Items!A:E,5,0),"")</f>
        <v/>
      </c>
    </row>
    <row r="455" ht="15" customHeight="1" s="12">
      <c r="A455" s="16" t="n"/>
      <c r="B455" s="14" t="n"/>
      <c r="C455" s="14" t="n"/>
      <c r="D455" s="14" t="n"/>
      <c r="E455" s="17">
        <f>IFERROR(VLOOKUP(C455,Items!A:E,5,0),"")</f>
        <v/>
      </c>
    </row>
    <row r="456" ht="15" customHeight="1" s="12">
      <c r="A456" s="16" t="n"/>
      <c r="B456" s="14" t="n"/>
      <c r="C456" s="14" t="n"/>
      <c r="D456" s="14" t="n"/>
      <c r="E456" s="17">
        <f>IFERROR(VLOOKUP(C456,Items!A:E,5,0),"")</f>
        <v/>
      </c>
    </row>
    <row r="457" ht="15" customHeight="1" s="12">
      <c r="A457" s="16" t="n"/>
      <c r="B457" s="14" t="n"/>
      <c r="C457" s="14" t="n"/>
      <c r="D457" s="14" t="n"/>
      <c r="E457" s="17">
        <f>IFERROR(VLOOKUP(C457,Items!A:E,5,0),"")</f>
        <v/>
      </c>
    </row>
    <row r="458" ht="15" customHeight="1" s="12">
      <c r="A458" s="16" t="n"/>
      <c r="B458" s="14" t="n"/>
      <c r="C458" s="14" t="n"/>
      <c r="D458" s="14" t="n"/>
      <c r="E458" s="17">
        <f>IFERROR(VLOOKUP(C458,Items!A:E,5,0),"")</f>
        <v/>
      </c>
    </row>
    <row r="459" ht="15" customHeight="1" s="12">
      <c r="A459" s="16" t="n"/>
      <c r="B459" s="14" t="n"/>
      <c r="C459" s="14" t="n"/>
      <c r="D459" s="14" t="n"/>
      <c r="E459" s="17">
        <f>IFERROR(VLOOKUP(C459,Items!A:E,5,0),"")</f>
        <v/>
      </c>
    </row>
    <row r="460" ht="15" customHeight="1" s="12">
      <c r="A460" s="16" t="n"/>
      <c r="B460" s="14" t="n"/>
      <c r="C460" s="14" t="n"/>
      <c r="D460" s="14" t="n"/>
      <c r="E460" s="17">
        <f>IFERROR(VLOOKUP(C460,Items!A:E,5,0),"")</f>
        <v/>
      </c>
    </row>
    <row r="461" ht="15" customHeight="1" s="12">
      <c r="A461" s="16" t="n"/>
      <c r="B461" s="14" t="n"/>
      <c r="C461" s="14" t="n"/>
      <c r="D461" s="14" t="n"/>
      <c r="E461" s="17">
        <f>IFERROR(VLOOKUP(C461,Items!A:E,5,0),"")</f>
        <v/>
      </c>
    </row>
    <row r="462" ht="15" customHeight="1" s="12">
      <c r="A462" s="16" t="n"/>
      <c r="B462" s="14" t="n"/>
      <c r="C462" s="14" t="n"/>
      <c r="D462" s="14" t="n"/>
      <c r="E462" s="17">
        <f>IFERROR(VLOOKUP(C462,Items!A:E,5,0),"")</f>
        <v/>
      </c>
    </row>
    <row r="463" ht="15" customHeight="1" s="12">
      <c r="A463" s="16" t="n"/>
      <c r="B463" s="14" t="n"/>
      <c r="C463" s="14" t="n"/>
      <c r="D463" s="14" t="n"/>
      <c r="E463" s="17">
        <f>IFERROR(VLOOKUP(C463,Items!A:E,5,0),"")</f>
        <v/>
      </c>
    </row>
    <row r="464" ht="15" customHeight="1" s="12">
      <c r="A464" s="16" t="n"/>
      <c r="B464" s="14" t="n"/>
      <c r="C464" s="14" t="n"/>
      <c r="D464" s="14" t="n"/>
      <c r="E464" s="17">
        <f>IFERROR(VLOOKUP(C464,Items!A:E,5,0),"")</f>
        <v/>
      </c>
    </row>
    <row r="465" ht="15" customHeight="1" s="12">
      <c r="A465" s="16" t="n"/>
      <c r="B465" s="14" t="n"/>
      <c r="C465" s="14" t="n"/>
      <c r="D465" s="14" t="n"/>
      <c r="E465" s="17">
        <f>IFERROR(VLOOKUP(C465,Items!A:E,5,0),"")</f>
        <v/>
      </c>
    </row>
    <row r="466" ht="15" customHeight="1" s="12">
      <c r="A466" s="16" t="n"/>
      <c r="B466" s="14" t="n"/>
      <c r="C466" s="14" t="n"/>
      <c r="D466" s="14" t="n"/>
      <c r="E466" s="17">
        <f>IFERROR(VLOOKUP(C466,Items!A:E,5,0),"")</f>
        <v/>
      </c>
    </row>
    <row r="467" ht="15" customHeight="1" s="12">
      <c r="A467" s="16" t="n"/>
      <c r="B467" s="14" t="n"/>
      <c r="C467" s="14" t="n"/>
      <c r="D467" s="14" t="n"/>
      <c r="E467" s="17">
        <f>IFERROR(VLOOKUP(C467,Items!A:E,5,0),"")</f>
        <v/>
      </c>
    </row>
    <row r="468" ht="15" customHeight="1" s="12">
      <c r="A468" s="16" t="n"/>
      <c r="B468" s="14" t="n"/>
      <c r="C468" s="14" t="n"/>
      <c r="D468" s="14" t="n"/>
      <c r="E468" s="17">
        <f>IFERROR(VLOOKUP(C468,Items!A:E,5,0),"")</f>
        <v/>
      </c>
    </row>
    <row r="469" ht="15" customHeight="1" s="12">
      <c r="A469" s="16" t="n"/>
      <c r="B469" s="14" t="n"/>
      <c r="C469" s="14" t="n"/>
      <c r="D469" s="14" t="n"/>
      <c r="E469" s="17">
        <f>IFERROR(VLOOKUP(C469,Items!A:E,5,0),"")</f>
        <v/>
      </c>
    </row>
    <row r="470" ht="15" customHeight="1" s="12">
      <c r="A470" s="16" t="n"/>
      <c r="B470" s="14" t="n"/>
      <c r="C470" s="14" t="n"/>
      <c r="D470" s="14" t="n"/>
      <c r="E470" s="17">
        <f>IFERROR(VLOOKUP(C470,Items!A:E,5,0),"")</f>
        <v/>
      </c>
    </row>
    <row r="471" ht="15" customHeight="1" s="12">
      <c r="A471" s="16" t="n"/>
      <c r="B471" s="14" t="n"/>
      <c r="C471" s="14" t="n"/>
      <c r="D471" s="14" t="n"/>
      <c r="E471" s="17">
        <f>IFERROR(VLOOKUP(C471,Items!A:E,5,0),"")</f>
        <v/>
      </c>
    </row>
    <row r="472" ht="15" customHeight="1" s="12">
      <c r="A472" s="16" t="n"/>
      <c r="B472" s="14" t="n"/>
      <c r="C472" s="14" t="n"/>
      <c r="D472" s="14" t="n"/>
      <c r="E472" s="17">
        <f>IFERROR(VLOOKUP(C472,Items!A:E,5,0),"")</f>
        <v/>
      </c>
    </row>
    <row r="473" ht="15" customHeight="1" s="12">
      <c r="A473" s="16" t="n"/>
      <c r="B473" s="14" t="n"/>
      <c r="C473" s="14" t="n"/>
      <c r="D473" s="14" t="n"/>
      <c r="E473" s="17">
        <f>IFERROR(VLOOKUP(C473,Items!A:E,5,0),"")</f>
        <v/>
      </c>
    </row>
    <row r="474" ht="15" customHeight="1" s="12">
      <c r="A474" s="16" t="n"/>
      <c r="B474" s="14" t="n"/>
      <c r="C474" s="14" t="n"/>
      <c r="D474" s="14" t="n"/>
      <c r="E474" s="17">
        <f>IFERROR(VLOOKUP(C474,Items!A:E,5,0),"")</f>
        <v/>
      </c>
    </row>
    <row r="475" ht="15" customHeight="1" s="12">
      <c r="A475" s="16" t="n"/>
      <c r="B475" s="14" t="n"/>
      <c r="C475" s="14" t="n"/>
      <c r="D475" s="14" t="n"/>
      <c r="E475" s="17">
        <f>IFERROR(VLOOKUP(C475,Items!A:E,5,0),"")</f>
        <v/>
      </c>
    </row>
    <row r="476" ht="15" customHeight="1" s="12">
      <c r="A476" s="16" t="n"/>
      <c r="B476" s="14" t="n"/>
      <c r="C476" s="14" t="n"/>
      <c r="D476" s="14" t="n"/>
      <c r="E476" s="17">
        <f>IFERROR(VLOOKUP(C476,Items!A:E,5,0),"")</f>
        <v/>
      </c>
    </row>
    <row r="477" ht="15" customHeight="1" s="12">
      <c r="A477" s="16" t="n"/>
      <c r="B477" s="14" t="n"/>
      <c r="C477" s="14" t="n"/>
      <c r="D477" s="14" t="n"/>
      <c r="E477" s="17">
        <f>IFERROR(VLOOKUP(C477,Items!A:E,5,0),"")</f>
        <v/>
      </c>
    </row>
    <row r="478" ht="15" customHeight="1" s="12">
      <c r="A478" s="16" t="n"/>
      <c r="B478" s="14" t="n"/>
      <c r="C478" s="14" t="n"/>
      <c r="D478" s="14" t="n"/>
      <c r="E478" s="17">
        <f>IFERROR(VLOOKUP(C478,Items!A:E,5,0),"")</f>
        <v/>
      </c>
    </row>
    <row r="479" ht="15" customHeight="1" s="12">
      <c r="A479" s="16" t="n"/>
      <c r="B479" s="14" t="n"/>
      <c r="C479" s="14" t="n"/>
      <c r="D479" s="14" t="n"/>
      <c r="E479" s="17">
        <f>IFERROR(VLOOKUP(C479,Items!A:E,5,0),"")</f>
        <v/>
      </c>
    </row>
    <row r="480" ht="15" customHeight="1" s="12">
      <c r="A480" s="16" t="n"/>
      <c r="B480" s="14" t="n"/>
      <c r="C480" s="14" t="n"/>
      <c r="D480" s="14" t="n"/>
      <c r="E480" s="17">
        <f>IFERROR(VLOOKUP(C480,Items!A:E,5,0),"")</f>
        <v/>
      </c>
    </row>
    <row r="481" ht="15" customHeight="1" s="12">
      <c r="A481" s="16" t="n"/>
      <c r="B481" s="14" t="n"/>
      <c r="C481" s="14" t="n"/>
      <c r="D481" s="14" t="n"/>
      <c r="E481" s="17">
        <f>IFERROR(VLOOKUP(C481,Items!A:E,5,0),"")</f>
        <v/>
      </c>
    </row>
    <row r="482" ht="15" customHeight="1" s="12">
      <c r="A482" s="16" t="n"/>
      <c r="B482" s="14" t="n"/>
      <c r="C482" s="14" t="n"/>
      <c r="D482" s="14" t="n"/>
      <c r="E482" s="17">
        <f>IFERROR(VLOOKUP(C482,Items!A:E,5,0),"")</f>
        <v/>
      </c>
    </row>
    <row r="483" ht="15" customHeight="1" s="12">
      <c r="A483" s="16" t="n"/>
      <c r="B483" s="14" t="n"/>
      <c r="C483" s="14" t="n"/>
      <c r="D483" s="14" t="n"/>
      <c r="E483" s="17">
        <f>IFERROR(VLOOKUP(C483,Items!A:E,5,0),"")</f>
        <v/>
      </c>
    </row>
    <row r="484" ht="15" customHeight="1" s="12">
      <c r="A484" s="16" t="n"/>
      <c r="B484" s="14" t="n"/>
      <c r="C484" s="14" t="n"/>
      <c r="D484" s="14" t="n"/>
      <c r="E484" s="17">
        <f>IFERROR(VLOOKUP(C484,Items!A:E,5,0),"")</f>
        <v/>
      </c>
    </row>
    <row r="485" ht="15" customHeight="1" s="12">
      <c r="A485" s="16" t="n"/>
      <c r="B485" s="14" t="n"/>
      <c r="C485" s="14" t="n"/>
      <c r="D485" s="14" t="n"/>
      <c r="E485" s="17">
        <f>IFERROR(VLOOKUP(C485,Items!A:E,5,0),"")</f>
        <v/>
      </c>
    </row>
    <row r="486" ht="15" customHeight="1" s="12">
      <c r="A486" s="16" t="n"/>
      <c r="B486" s="14" t="n"/>
      <c r="C486" s="14" t="n"/>
      <c r="D486" s="14" t="n"/>
      <c r="E486" s="17">
        <f>IFERROR(VLOOKUP(C486,Items!A:E,5,0),"")</f>
        <v/>
      </c>
    </row>
    <row r="487" ht="15" customHeight="1" s="12">
      <c r="A487" s="16" t="n"/>
      <c r="B487" s="14" t="n"/>
      <c r="C487" s="14" t="n"/>
      <c r="D487" s="14" t="n"/>
      <c r="E487" s="17">
        <f>IFERROR(VLOOKUP(C487,Items!A:E,5,0),"")</f>
        <v/>
      </c>
    </row>
    <row r="488" ht="15" customHeight="1" s="12">
      <c r="A488" s="16" t="n"/>
      <c r="B488" s="14" t="n"/>
      <c r="C488" s="14" t="n"/>
      <c r="D488" s="14" t="n"/>
      <c r="E488" s="17">
        <f>IFERROR(VLOOKUP(C488,Items!A:E,5,0),"")</f>
        <v/>
      </c>
    </row>
    <row r="489" ht="15" customHeight="1" s="12">
      <c r="A489" s="16" t="n"/>
      <c r="B489" s="14" t="n"/>
      <c r="C489" s="14" t="n"/>
      <c r="D489" s="14" t="n"/>
      <c r="E489" s="17">
        <f>IFERROR(VLOOKUP(C489,Items!A:E,5,0),"")</f>
        <v/>
      </c>
    </row>
    <row r="490" ht="15" customHeight="1" s="12">
      <c r="A490" s="16" t="n"/>
      <c r="B490" s="14" t="n"/>
      <c r="C490" s="14" t="n"/>
      <c r="D490" s="14" t="n"/>
      <c r="E490" s="17">
        <f>IFERROR(VLOOKUP(C490,Items!A:E,5,0),"")</f>
        <v/>
      </c>
    </row>
    <row r="491" ht="15" customHeight="1" s="12">
      <c r="A491" s="16" t="n"/>
      <c r="B491" s="14" t="n"/>
      <c r="C491" s="14" t="n"/>
      <c r="D491" s="14" t="n"/>
      <c r="E491" s="17">
        <f>IFERROR(VLOOKUP(C491,Items!A:E,5,0),"")</f>
        <v/>
      </c>
    </row>
    <row r="492" ht="15" customHeight="1" s="12">
      <c r="A492" s="16" t="n"/>
      <c r="B492" s="14" t="n"/>
      <c r="C492" s="14" t="n"/>
      <c r="D492" s="14" t="n"/>
      <c r="E492" s="17">
        <f>IFERROR(VLOOKUP(C492,Items!A:E,5,0),"")</f>
        <v/>
      </c>
    </row>
    <row r="493" ht="15" customHeight="1" s="12">
      <c r="A493" s="16" t="n"/>
      <c r="B493" s="14" t="n"/>
      <c r="C493" s="14" t="n"/>
      <c r="D493" s="14" t="n"/>
      <c r="E493" s="17">
        <f>IFERROR(VLOOKUP(C493,Items!A:E,5,0),"")</f>
        <v/>
      </c>
    </row>
    <row r="494" ht="15" customHeight="1" s="12">
      <c r="A494" s="16" t="n"/>
      <c r="B494" s="14" t="n"/>
      <c r="C494" s="14" t="n"/>
      <c r="D494" s="14" t="n"/>
      <c r="E494" s="17">
        <f>IFERROR(VLOOKUP(C494,Items!A:E,5,0),"")</f>
        <v/>
      </c>
    </row>
    <row r="495" ht="15" customHeight="1" s="12">
      <c r="A495" s="16" t="n"/>
      <c r="B495" s="14" t="n"/>
      <c r="C495" s="14" t="n"/>
      <c r="D495" s="14" t="n"/>
      <c r="E495" s="17">
        <f>IFERROR(VLOOKUP(C495,Items!A:E,5,0),"")</f>
        <v/>
      </c>
    </row>
    <row r="496" ht="15" customHeight="1" s="12">
      <c r="A496" s="16" t="n"/>
      <c r="B496" s="14" t="n"/>
      <c r="C496" s="14" t="n"/>
      <c r="D496" s="14" t="n"/>
      <c r="E496" s="17">
        <f>IFERROR(VLOOKUP(C496,Items!A:E,5,0),"")</f>
        <v/>
      </c>
    </row>
    <row r="497" ht="15" customHeight="1" s="12">
      <c r="A497" s="16" t="n"/>
      <c r="B497" s="14" t="n"/>
      <c r="C497" s="14" t="n"/>
      <c r="D497" s="14" t="n"/>
      <c r="E497" s="17">
        <f>IFERROR(VLOOKUP(C497,Items!A:E,5,0),"")</f>
        <v/>
      </c>
    </row>
    <row r="498" ht="15" customHeight="1" s="12">
      <c r="A498" s="16" t="n"/>
      <c r="B498" s="14" t="n"/>
      <c r="C498" s="14" t="n"/>
      <c r="D498" s="14" t="n"/>
      <c r="E498" s="17">
        <f>IFERROR(VLOOKUP(C498,Items!A:E,5,0),"")</f>
        <v/>
      </c>
    </row>
    <row r="499" ht="15" customHeight="1" s="12">
      <c r="A499" s="16" t="n"/>
      <c r="B499" s="14" t="n"/>
      <c r="C499" s="14" t="n"/>
      <c r="D499" s="14" t="n"/>
      <c r="E499" s="17">
        <f>IFERROR(VLOOKUP(C499,Items!A:E,5,0),"")</f>
        <v/>
      </c>
    </row>
    <row r="500" ht="15" customHeight="1" s="12">
      <c r="A500" s="16" t="n"/>
      <c r="B500" s="14" t="n"/>
      <c r="C500" s="14" t="n"/>
      <c r="D500" s="14" t="n"/>
      <c r="E500" s="17">
        <f>IFERROR(VLOOKUP(C500,Items!A:E,5,0),"")</f>
        <v/>
      </c>
    </row>
    <row r="501" ht="15" customHeight="1" s="12">
      <c r="A501" s="16" t="n"/>
      <c r="B501" s="14" t="n"/>
      <c r="C501" s="14" t="n"/>
      <c r="D501" s="14" t="n"/>
      <c r="E501" s="17">
        <f>IFERROR(VLOOKUP(C501,Items!A:E,5,0),"")</f>
        <v/>
      </c>
    </row>
    <row r="502" ht="15" customHeight="1" s="12">
      <c r="A502" s="16" t="n"/>
      <c r="B502" s="14" t="n"/>
      <c r="C502" s="14" t="n"/>
      <c r="D502" s="14" t="n"/>
      <c r="E502" s="17">
        <f>IFERROR(VLOOKUP(C502,Items!A:E,5,0),"")</f>
        <v/>
      </c>
    </row>
    <row r="503" ht="15" customHeight="1" s="12">
      <c r="A503" s="16" t="n"/>
      <c r="B503" s="14" t="n"/>
      <c r="C503" s="14" t="n"/>
      <c r="D503" s="14" t="n"/>
      <c r="E503" s="17">
        <f>IFERROR(VLOOKUP(C503,Items!A:E,5,0),"")</f>
        <v/>
      </c>
    </row>
    <row r="504" ht="15" customHeight="1" s="12">
      <c r="A504" s="16" t="n"/>
      <c r="B504" s="14" t="n"/>
      <c r="C504" s="14" t="n"/>
      <c r="D504" s="14" t="n"/>
      <c r="E504" s="17">
        <f>IFERROR(VLOOKUP(C504,Items!A:E,5,0),"")</f>
        <v/>
      </c>
    </row>
    <row r="505" ht="15" customHeight="1" s="12">
      <c r="A505" s="16" t="n"/>
      <c r="B505" s="14" t="n"/>
      <c r="C505" s="14" t="n"/>
      <c r="D505" s="14" t="n"/>
      <c r="E505" s="17">
        <f>IFERROR(VLOOKUP(C505,Items!A:E,5,0),"")</f>
        <v/>
      </c>
    </row>
    <row r="506" ht="15" customHeight="1" s="12">
      <c r="A506" s="16" t="n"/>
      <c r="B506" s="14" t="n"/>
      <c r="C506" s="14" t="n"/>
      <c r="D506" s="14" t="n"/>
      <c r="E506" s="17">
        <f>IFERROR(VLOOKUP(C506,Items!A:E,5,0),"")</f>
        <v/>
      </c>
    </row>
    <row r="507" ht="15" customHeight="1" s="12">
      <c r="A507" s="16" t="n"/>
      <c r="B507" s="14" t="n"/>
      <c r="C507" s="14" t="n"/>
      <c r="D507" s="14" t="n"/>
      <c r="E507" s="17">
        <f>IFERROR(VLOOKUP(C507,Items!A:E,5,0),"")</f>
        <v/>
      </c>
    </row>
    <row r="508" ht="15" customHeight="1" s="12">
      <c r="A508" s="16" t="n"/>
      <c r="B508" s="14" t="n"/>
      <c r="C508" s="14" t="n"/>
      <c r="D508" s="14" t="n"/>
      <c r="E508" s="17">
        <f>IFERROR(VLOOKUP(C508,Items!A:E,5,0),"")</f>
        <v/>
      </c>
    </row>
    <row r="509" ht="15" customHeight="1" s="12">
      <c r="A509" s="16" t="n"/>
      <c r="B509" s="14" t="n"/>
      <c r="C509" s="14" t="n"/>
      <c r="D509" s="14" t="n"/>
      <c r="E509" s="17">
        <f>IFERROR(VLOOKUP(C509,Items!A:E,5,0),"")</f>
        <v/>
      </c>
    </row>
    <row r="510" ht="15" customHeight="1" s="12">
      <c r="A510" s="16" t="n"/>
      <c r="B510" s="14" t="n"/>
      <c r="C510" s="14" t="n"/>
      <c r="D510" s="14" t="n"/>
      <c r="E510" s="17">
        <f>IFERROR(VLOOKUP(C510,Items!A:E,5,0),"")</f>
        <v/>
      </c>
    </row>
    <row r="511" ht="15" customHeight="1" s="12">
      <c r="A511" s="16" t="n"/>
      <c r="B511" s="14" t="n"/>
      <c r="C511" s="14" t="n"/>
      <c r="D511" s="14" t="n"/>
      <c r="E511" s="17">
        <f>IFERROR(VLOOKUP(C511,Items!A:E,5,0),"")</f>
        <v/>
      </c>
    </row>
    <row r="512" ht="15" customHeight="1" s="12">
      <c r="A512" s="16" t="n"/>
      <c r="B512" s="14" t="n"/>
      <c r="C512" s="14" t="n"/>
      <c r="D512" s="14" t="n"/>
      <c r="E512" s="17">
        <f>IFERROR(VLOOKUP(C512,Items!A:E,5,0),"")</f>
        <v/>
      </c>
    </row>
    <row r="513" ht="15" customHeight="1" s="12">
      <c r="A513" s="16" t="n"/>
      <c r="B513" s="14" t="n"/>
      <c r="C513" s="14" t="n"/>
      <c r="D513" s="14" t="n"/>
      <c r="E513" s="17">
        <f>IFERROR(VLOOKUP(C513,Items!A:E,5,0),"")</f>
        <v/>
      </c>
    </row>
    <row r="514" ht="15" customHeight="1" s="12">
      <c r="A514" s="16" t="n"/>
      <c r="B514" s="14" t="n"/>
      <c r="C514" s="14" t="n"/>
      <c r="D514" s="14" t="n"/>
      <c r="E514" s="17">
        <f>IFERROR(VLOOKUP(C514,Items!A:E,5,0),"")</f>
        <v/>
      </c>
    </row>
    <row r="515" ht="15" customHeight="1" s="12">
      <c r="A515" s="16" t="n"/>
      <c r="B515" s="14" t="n"/>
      <c r="C515" s="14" t="n"/>
      <c r="D515" s="14" t="n"/>
      <c r="E515" s="17">
        <f>IFERROR(VLOOKUP(C515,Items!A:E,5,0),"")</f>
        <v/>
      </c>
    </row>
    <row r="516" ht="15" customHeight="1" s="12">
      <c r="A516" s="16" t="n"/>
      <c r="B516" s="14" t="n"/>
      <c r="C516" s="14" t="n"/>
      <c r="D516" s="14" t="n"/>
      <c r="E516" s="17">
        <f>IFERROR(VLOOKUP(C516,Items!A:E,5,0),"")</f>
        <v/>
      </c>
    </row>
    <row r="517" ht="15" customHeight="1" s="12">
      <c r="A517" s="16" t="n"/>
      <c r="B517" s="14" t="n"/>
      <c r="C517" s="14" t="n"/>
      <c r="D517" s="14" t="n"/>
      <c r="E517" s="17">
        <f>IFERROR(VLOOKUP(C517,Items!A:E,5,0),"")</f>
        <v/>
      </c>
    </row>
    <row r="518" ht="15" customHeight="1" s="12">
      <c r="A518" s="16" t="n"/>
      <c r="B518" s="14" t="n"/>
      <c r="C518" s="14" t="n"/>
      <c r="D518" s="14" t="n"/>
      <c r="E518" s="17">
        <f>IFERROR(VLOOKUP(C518,Items!A:E,5,0),"")</f>
        <v/>
      </c>
    </row>
    <row r="519" ht="15" customHeight="1" s="12">
      <c r="A519" s="16" t="n"/>
      <c r="B519" s="14" t="n"/>
      <c r="C519" s="14" t="n"/>
      <c r="D519" s="14" t="n"/>
      <c r="E519" s="17">
        <f>IFERROR(VLOOKUP(C519,Items!A:E,5,0),"")</f>
        <v/>
      </c>
    </row>
    <row r="520" ht="15" customHeight="1" s="12">
      <c r="A520" s="16" t="n"/>
      <c r="B520" s="14" t="n"/>
      <c r="C520" s="14" t="n"/>
      <c r="D520" s="14" t="n"/>
      <c r="E520" s="17">
        <f>IFERROR(VLOOKUP(C520,Items!A:E,5,0),"")</f>
        <v/>
      </c>
    </row>
    <row r="521" ht="15" customHeight="1" s="12">
      <c r="A521" s="16" t="n"/>
      <c r="B521" s="14" t="n"/>
      <c r="C521" s="14" t="n"/>
      <c r="D521" s="14" t="n"/>
      <c r="E521" s="17">
        <f>IFERROR(VLOOKUP(C521,Items!A:E,5,0),"")</f>
        <v/>
      </c>
    </row>
    <row r="522" ht="15" customHeight="1" s="12">
      <c r="A522" s="16" t="n"/>
      <c r="B522" s="14" t="n"/>
      <c r="C522" s="14" t="n"/>
      <c r="D522" s="14" t="n"/>
      <c r="E522" s="17">
        <f>IFERROR(VLOOKUP(C522,Items!A:E,5,0),"")</f>
        <v/>
      </c>
    </row>
    <row r="523" ht="15" customHeight="1" s="12">
      <c r="A523" s="16" t="n"/>
      <c r="B523" s="14" t="n"/>
      <c r="C523" s="14" t="n"/>
      <c r="D523" s="14" t="n"/>
      <c r="E523" s="17">
        <f>IFERROR(VLOOKUP(C523,Items!A:E,5,0),"")</f>
        <v/>
      </c>
    </row>
    <row r="524" ht="15" customHeight="1" s="12">
      <c r="A524" s="16" t="n"/>
      <c r="B524" s="14" t="n"/>
      <c r="C524" s="14" t="n"/>
      <c r="D524" s="14" t="n"/>
      <c r="E524" s="17">
        <f>IFERROR(VLOOKUP(C524,Items!A:E,5,0),"")</f>
        <v/>
      </c>
    </row>
    <row r="525" ht="15" customHeight="1" s="12">
      <c r="A525" s="16" t="n"/>
      <c r="B525" s="14" t="n"/>
      <c r="C525" s="14" t="n"/>
      <c r="D525" s="14" t="n"/>
      <c r="E525" s="17">
        <f>IFERROR(VLOOKUP(C525,Items!A:E,5,0),"")</f>
        <v/>
      </c>
    </row>
    <row r="526" ht="15" customHeight="1" s="12">
      <c r="A526" s="16" t="n"/>
      <c r="B526" s="14" t="n"/>
      <c r="C526" s="14" t="n"/>
      <c r="D526" s="14" t="n"/>
      <c r="E526" s="17">
        <f>IFERROR(VLOOKUP(C526,Items!A:E,5,0),"")</f>
        <v/>
      </c>
    </row>
    <row r="527" ht="15" customHeight="1" s="12">
      <c r="A527" s="16" t="n"/>
      <c r="B527" s="14" t="n"/>
      <c r="C527" s="14" t="n"/>
      <c r="D527" s="14" t="n"/>
      <c r="E527" s="17">
        <f>IFERROR(VLOOKUP(C527,Items!A:E,5,0),"")</f>
        <v/>
      </c>
    </row>
    <row r="528" ht="15" customHeight="1" s="12">
      <c r="A528" s="16" t="n"/>
      <c r="B528" s="14" t="n"/>
      <c r="C528" s="14" t="n"/>
      <c r="D528" s="14" t="n"/>
      <c r="E528" s="17">
        <f>IFERROR(VLOOKUP(C528,Items!A:E,5,0),"")</f>
        <v/>
      </c>
    </row>
    <row r="529" ht="15" customHeight="1" s="12">
      <c r="A529" s="16" t="n"/>
      <c r="B529" s="14" t="n"/>
      <c r="C529" s="14" t="n"/>
      <c r="D529" s="14" t="n"/>
      <c r="E529" s="17">
        <f>IFERROR(VLOOKUP(C529,Items!A:E,5,0),"")</f>
        <v/>
      </c>
    </row>
    <row r="530" ht="15" customHeight="1" s="12">
      <c r="A530" s="16" t="n"/>
      <c r="B530" s="14" t="n"/>
      <c r="C530" s="14" t="n"/>
      <c r="D530" s="14" t="n"/>
      <c r="E530" s="17">
        <f>IFERROR(VLOOKUP(C530,Items!A:E,5,0),"")</f>
        <v/>
      </c>
    </row>
    <row r="531" ht="15" customHeight="1" s="12">
      <c r="A531" s="16" t="n"/>
      <c r="B531" s="14" t="n"/>
      <c r="C531" s="14" t="n"/>
      <c r="D531" s="14" t="n"/>
      <c r="E531" s="17">
        <f>IFERROR(VLOOKUP(C531,Items!A:E,5,0),"")</f>
        <v/>
      </c>
    </row>
    <row r="532" ht="15" customHeight="1" s="12">
      <c r="A532" s="16" t="n"/>
      <c r="B532" s="14" t="n"/>
      <c r="C532" s="14" t="n"/>
      <c r="D532" s="14" t="n"/>
      <c r="E532" s="17">
        <f>IFERROR(VLOOKUP(C532,Items!A:E,5,0),"")</f>
        <v/>
      </c>
    </row>
    <row r="533" ht="15" customHeight="1" s="12">
      <c r="A533" s="16" t="n"/>
      <c r="B533" s="14" t="n"/>
      <c r="C533" s="14" t="n"/>
      <c r="D533" s="14" t="n"/>
      <c r="E533" s="17">
        <f>IFERROR(VLOOKUP(C533,Items!A:E,5,0),"")</f>
        <v/>
      </c>
    </row>
    <row r="534" ht="15" customHeight="1" s="12">
      <c r="A534" s="16" t="n"/>
      <c r="B534" s="14" t="n"/>
      <c r="C534" s="14" t="n"/>
      <c r="D534" s="14" t="n"/>
      <c r="E534" s="17">
        <f>IFERROR(VLOOKUP(C534,Items!A:E,5,0),"")</f>
        <v/>
      </c>
    </row>
    <row r="535" ht="15" customHeight="1" s="12">
      <c r="A535" s="16" t="n"/>
      <c r="B535" s="14" t="n"/>
      <c r="C535" s="14" t="n"/>
      <c r="D535" s="14" t="n"/>
      <c r="E535" s="17">
        <f>IFERROR(VLOOKUP(C535,Items!A:E,5,0),"")</f>
        <v/>
      </c>
    </row>
    <row r="536" ht="15" customHeight="1" s="12">
      <c r="A536" s="16" t="n"/>
      <c r="B536" s="14" t="n"/>
      <c r="C536" s="14" t="n"/>
      <c r="D536" s="14" t="n"/>
      <c r="E536" s="17">
        <f>IFERROR(VLOOKUP(C536,Items!A:E,5,0),"")</f>
        <v/>
      </c>
    </row>
    <row r="537" ht="15" customHeight="1" s="12">
      <c r="A537" s="16" t="n"/>
      <c r="B537" s="14" t="n"/>
      <c r="C537" s="14" t="n"/>
      <c r="D537" s="14" t="n"/>
      <c r="E537" s="17">
        <f>IFERROR(VLOOKUP(C537,Items!A:E,5,0),"")</f>
        <v/>
      </c>
    </row>
    <row r="538" ht="15" customHeight="1" s="12">
      <c r="A538" s="16" t="n"/>
      <c r="B538" s="14" t="n"/>
      <c r="C538" s="14" t="n"/>
      <c r="D538" s="14" t="n"/>
      <c r="E538" s="17">
        <f>IFERROR(VLOOKUP(C538,Items!A:E,5,0),"")</f>
        <v/>
      </c>
    </row>
    <row r="539" ht="15" customHeight="1" s="12">
      <c r="A539" s="16" t="n"/>
      <c r="B539" s="14" t="n"/>
      <c r="C539" s="14" t="n"/>
      <c r="D539" s="14" t="n"/>
      <c r="E539" s="17">
        <f>IFERROR(VLOOKUP(C539,Items!A:E,5,0),"")</f>
        <v/>
      </c>
    </row>
    <row r="540" ht="15" customHeight="1" s="12">
      <c r="A540" s="16" t="n"/>
      <c r="B540" s="14" t="n"/>
      <c r="C540" s="14" t="n"/>
      <c r="D540" s="14" t="n"/>
      <c r="E540" s="17">
        <f>IFERROR(VLOOKUP(C540,Items!A:E,5,0),"")</f>
        <v/>
      </c>
    </row>
    <row r="541" ht="15" customHeight="1" s="12">
      <c r="A541" s="16" t="n"/>
      <c r="B541" s="14" t="n"/>
      <c r="C541" s="14" t="n"/>
      <c r="D541" s="14" t="n"/>
      <c r="E541" s="17">
        <f>IFERROR(VLOOKUP(C541,Items!A:E,5,0),"")</f>
        <v/>
      </c>
    </row>
    <row r="542" ht="15" customHeight="1" s="12">
      <c r="A542" s="16" t="n"/>
      <c r="B542" s="14" t="n"/>
      <c r="C542" s="14" t="n"/>
      <c r="D542" s="14" t="n"/>
      <c r="E542" s="17">
        <f>IFERROR(VLOOKUP(C542,Items!A:E,5,0),"")</f>
        <v/>
      </c>
    </row>
    <row r="543" ht="15" customHeight="1" s="12">
      <c r="A543" s="16" t="n"/>
      <c r="B543" s="14" t="n"/>
      <c r="C543" s="14" t="n"/>
      <c r="D543" s="14" t="n"/>
      <c r="E543" s="17">
        <f>IFERROR(VLOOKUP(C543,Items!A:E,5,0),"")</f>
        <v/>
      </c>
    </row>
    <row r="544" ht="15" customHeight="1" s="12">
      <c r="A544" s="16" t="n"/>
      <c r="B544" s="14" t="n"/>
      <c r="C544" s="14" t="n"/>
      <c r="D544" s="14" t="n"/>
      <c r="E544" s="17">
        <f>IFERROR(VLOOKUP(C544,Items!A:E,5,0),"")</f>
        <v/>
      </c>
    </row>
    <row r="545" ht="15" customHeight="1" s="12">
      <c r="A545" s="16" t="n"/>
      <c r="B545" s="14" t="n"/>
      <c r="C545" s="14" t="n"/>
      <c r="D545" s="14" t="n"/>
      <c r="E545" s="17">
        <f>IFERROR(VLOOKUP(C545,Items!A:E,5,0),"")</f>
        <v/>
      </c>
    </row>
    <row r="546" ht="15" customHeight="1" s="12">
      <c r="A546" s="16" t="n"/>
      <c r="B546" s="14" t="n"/>
      <c r="C546" s="14" t="n"/>
      <c r="D546" s="14" t="n"/>
      <c r="E546" s="17">
        <f>IFERROR(VLOOKUP(C546,Items!A:E,5,0),"")</f>
        <v/>
      </c>
    </row>
    <row r="547" ht="15" customHeight="1" s="12">
      <c r="A547" s="16" t="n"/>
      <c r="B547" s="14" t="n"/>
      <c r="C547" s="14" t="n"/>
      <c r="D547" s="14" t="n"/>
      <c r="E547" s="17">
        <f>IFERROR(VLOOKUP(C547,Items!A:E,5,0),"")</f>
        <v/>
      </c>
    </row>
    <row r="548" ht="15" customHeight="1" s="12">
      <c r="A548" s="16" t="n"/>
      <c r="B548" s="14" t="n"/>
      <c r="C548" s="14" t="n"/>
      <c r="D548" s="14" t="n"/>
      <c r="E548" s="17">
        <f>IFERROR(VLOOKUP(C548,Items!A:E,5,0),"")</f>
        <v/>
      </c>
    </row>
    <row r="549" ht="15" customHeight="1" s="12">
      <c r="A549" s="16" t="n"/>
      <c r="B549" s="14" t="n"/>
      <c r="C549" s="14" t="n"/>
      <c r="D549" s="14" t="n"/>
      <c r="E549" s="17">
        <f>IFERROR(VLOOKUP(C549,Items!A:E,5,0),"")</f>
        <v/>
      </c>
    </row>
    <row r="550" ht="15" customHeight="1" s="12">
      <c r="A550" s="16" t="n"/>
      <c r="B550" s="14" t="n"/>
      <c r="C550" s="14" t="n"/>
      <c r="D550" s="14" t="n"/>
      <c r="E550" s="17">
        <f>IFERROR(VLOOKUP(C550,Items!A:E,5,0),"")</f>
        <v/>
      </c>
    </row>
    <row r="551" ht="15" customHeight="1" s="12">
      <c r="A551" s="16" t="n"/>
      <c r="B551" s="14" t="n"/>
      <c r="C551" s="14" t="n"/>
      <c r="D551" s="14" t="n"/>
      <c r="E551" s="17">
        <f>IFERROR(VLOOKUP(C551,Items!A:E,5,0),"")</f>
        <v/>
      </c>
    </row>
    <row r="552" ht="15" customHeight="1" s="12">
      <c r="A552" s="16" t="n"/>
      <c r="B552" s="14" t="n"/>
      <c r="C552" s="14" t="n"/>
      <c r="D552" s="14" t="n"/>
      <c r="E552" s="17">
        <f>IFERROR(VLOOKUP(C552,Items!A:E,5,0),"")</f>
        <v/>
      </c>
    </row>
    <row r="553" ht="15" customHeight="1" s="12">
      <c r="A553" s="16" t="n"/>
      <c r="B553" s="14" t="n"/>
      <c r="C553" s="14" t="n"/>
      <c r="D553" s="14" t="n"/>
      <c r="E553" s="17">
        <f>IFERROR(VLOOKUP(C553,Items!A:E,5,0),"")</f>
        <v/>
      </c>
    </row>
    <row r="554" ht="15" customHeight="1" s="12">
      <c r="A554" s="16" t="n"/>
      <c r="B554" s="14" t="n"/>
      <c r="C554" s="14" t="n"/>
      <c r="D554" s="14" t="n"/>
      <c r="E554" s="17">
        <f>IFERROR(VLOOKUP(C554,Items!A:E,5,0),"")</f>
        <v/>
      </c>
    </row>
    <row r="555" ht="15" customHeight="1" s="12">
      <c r="A555" s="16" t="n"/>
      <c r="B555" s="14" t="n"/>
      <c r="C555" s="14" t="n"/>
      <c r="D555" s="14" t="n"/>
      <c r="E555" s="17">
        <f>IFERROR(VLOOKUP(C555,Items!A:E,5,0),"")</f>
        <v/>
      </c>
    </row>
    <row r="556" ht="15" customHeight="1" s="12">
      <c r="A556" s="16" t="n"/>
      <c r="B556" s="14" t="n"/>
      <c r="C556" s="14" t="n"/>
      <c r="D556" s="14" t="n"/>
      <c r="E556" s="17">
        <f>IFERROR(VLOOKUP(C556,Items!A:E,5,0),"")</f>
        <v/>
      </c>
    </row>
    <row r="557" ht="15" customHeight="1" s="12">
      <c r="A557" s="16" t="n"/>
      <c r="B557" s="14" t="n"/>
      <c r="C557" s="14" t="n"/>
      <c r="D557" s="14" t="n"/>
      <c r="E557" s="17">
        <f>IFERROR(VLOOKUP(C557,Items!A:E,5,0),"")</f>
        <v/>
      </c>
    </row>
    <row r="558" ht="15" customHeight="1" s="12">
      <c r="A558" s="16" t="n"/>
      <c r="B558" s="14" t="n"/>
      <c r="C558" s="14" t="n"/>
      <c r="D558" s="14" t="n"/>
      <c r="E558" s="17">
        <f>IFERROR(VLOOKUP(C558,Items!A:E,5,0),"")</f>
        <v/>
      </c>
    </row>
    <row r="559" ht="15" customHeight="1" s="12">
      <c r="A559" s="16" t="n"/>
      <c r="B559" s="14" t="n"/>
      <c r="C559" s="14" t="n"/>
      <c r="D559" s="14" t="n"/>
      <c r="E559" s="17">
        <f>IFERROR(VLOOKUP(C559,Items!A:E,5,0),"")</f>
        <v/>
      </c>
    </row>
    <row r="560" ht="15" customHeight="1" s="12">
      <c r="A560" s="16" t="n"/>
      <c r="B560" s="14" t="n"/>
      <c r="C560" s="14" t="n"/>
      <c r="D560" s="14" t="n"/>
      <c r="E560" s="17">
        <f>IFERROR(VLOOKUP(C560,Items!A:E,5,0),"")</f>
        <v/>
      </c>
    </row>
    <row r="561" ht="15" customHeight="1" s="12">
      <c r="A561" s="16" t="n"/>
      <c r="B561" s="14" t="n"/>
      <c r="C561" s="14" t="n"/>
      <c r="D561" s="14" t="n"/>
      <c r="E561" s="17">
        <f>IFERROR(VLOOKUP(C561,Items!A:E,5,0),"")</f>
        <v/>
      </c>
    </row>
    <row r="562" ht="15" customHeight="1" s="12">
      <c r="A562" s="16" t="n"/>
      <c r="B562" s="14" t="n"/>
      <c r="C562" s="14" t="n"/>
      <c r="D562" s="14" t="n"/>
      <c r="E562" s="17">
        <f>IFERROR(VLOOKUP(C562,Items!A:E,5,0),"")</f>
        <v/>
      </c>
    </row>
    <row r="563" ht="15" customHeight="1" s="12">
      <c r="A563" s="16" t="n"/>
      <c r="B563" s="14" t="n"/>
      <c r="C563" s="14" t="n"/>
      <c r="D563" s="14" t="n"/>
      <c r="E563" s="17">
        <f>IFERROR(VLOOKUP(C563,Items!A:E,5,0),"")</f>
        <v/>
      </c>
    </row>
    <row r="564" ht="15" customHeight="1" s="12">
      <c r="A564" s="16" t="n"/>
      <c r="B564" s="14" t="n"/>
      <c r="C564" s="14" t="n"/>
      <c r="D564" s="14" t="n"/>
      <c r="E564" s="17">
        <f>IFERROR(VLOOKUP(C564,Items!A:E,5,0),"")</f>
        <v/>
      </c>
    </row>
    <row r="565" ht="15" customHeight="1" s="12">
      <c r="A565" s="16" t="n"/>
      <c r="B565" s="14" t="n"/>
      <c r="C565" s="14" t="n"/>
      <c r="D565" s="14" t="n"/>
      <c r="E565" s="17">
        <f>IFERROR(VLOOKUP(C565,Items!A:E,5,0),"")</f>
        <v/>
      </c>
    </row>
    <row r="566" ht="15" customHeight="1" s="12">
      <c r="A566" s="16" t="n"/>
      <c r="B566" s="14" t="n"/>
      <c r="C566" s="14" t="n"/>
      <c r="D566" s="14" t="n"/>
      <c r="E566" s="17">
        <f>IFERROR(VLOOKUP(C566,Items!A:E,5,0),"")</f>
        <v/>
      </c>
    </row>
    <row r="567" ht="15" customHeight="1" s="12">
      <c r="A567" s="16" t="n"/>
      <c r="B567" s="14" t="n"/>
      <c r="C567" s="14" t="n"/>
      <c r="D567" s="14" t="n"/>
      <c r="E567" s="17">
        <f>IFERROR(VLOOKUP(C567,Items!A:E,5,0),"")</f>
        <v/>
      </c>
    </row>
    <row r="568" ht="15" customHeight="1" s="12">
      <c r="A568" s="16" t="n"/>
      <c r="B568" s="14" t="n"/>
      <c r="C568" s="14" t="n"/>
      <c r="D568" s="14" t="n"/>
      <c r="E568" s="17">
        <f>IFERROR(VLOOKUP(C568,Items!A:E,5,0),"")</f>
        <v/>
      </c>
    </row>
    <row r="569" ht="15" customHeight="1" s="12">
      <c r="A569" s="16" t="n"/>
      <c r="B569" s="14" t="n"/>
      <c r="C569" s="14" t="n"/>
      <c r="D569" s="14" t="n"/>
      <c r="E569" s="17">
        <f>IFERROR(VLOOKUP(C569,Items!A:E,5,0),"")</f>
        <v/>
      </c>
    </row>
    <row r="570" ht="15" customHeight="1" s="12">
      <c r="A570" s="16" t="n"/>
      <c r="B570" s="14" t="n"/>
      <c r="C570" s="14" t="n"/>
      <c r="D570" s="14" t="n"/>
      <c r="E570" s="17">
        <f>IFERROR(VLOOKUP(C570,Items!A:E,5,0),"")</f>
        <v/>
      </c>
    </row>
    <row r="571" ht="15" customHeight="1" s="12">
      <c r="A571" s="16" t="n"/>
      <c r="B571" s="14" t="n"/>
      <c r="C571" s="14" t="n"/>
      <c r="D571" s="14" t="n"/>
      <c r="E571" s="17">
        <f>IFERROR(VLOOKUP(C571,Items!A:E,5,0),"")</f>
        <v/>
      </c>
    </row>
    <row r="572" ht="15" customHeight="1" s="12">
      <c r="A572" s="16" t="n"/>
      <c r="B572" s="14" t="n"/>
      <c r="C572" s="14" t="n"/>
      <c r="D572" s="14" t="n"/>
      <c r="E572" s="17">
        <f>IFERROR(VLOOKUP(C572,Items!A:E,5,0),"")</f>
        <v/>
      </c>
    </row>
    <row r="573" ht="15" customHeight="1" s="12">
      <c r="A573" s="16" t="n"/>
      <c r="B573" s="14" t="n"/>
      <c r="C573" s="14" t="n"/>
      <c r="D573" s="14" t="n"/>
      <c r="E573" s="17">
        <f>IFERROR(VLOOKUP(C573,Items!A:E,5,0),"")</f>
        <v/>
      </c>
    </row>
    <row r="574" ht="15" customHeight="1" s="12">
      <c r="A574" s="16" t="n"/>
      <c r="B574" s="14" t="n"/>
      <c r="C574" s="14" t="n"/>
      <c r="D574" s="14" t="n"/>
      <c r="E574" s="17">
        <f>IFERROR(VLOOKUP(C574,Items!A:E,5,0),"")</f>
        <v/>
      </c>
    </row>
    <row r="575" ht="15" customHeight="1" s="12">
      <c r="A575" s="16" t="n"/>
      <c r="B575" s="14" t="n"/>
      <c r="C575" s="14" t="n"/>
      <c r="D575" s="14" t="n"/>
      <c r="E575" s="17">
        <f>IFERROR(VLOOKUP(C575,Items!A:E,5,0),"")</f>
        <v/>
      </c>
    </row>
    <row r="576" ht="15" customHeight="1" s="12">
      <c r="A576" s="16" t="n"/>
      <c r="B576" s="14" t="n"/>
      <c r="C576" s="14" t="n"/>
      <c r="D576" s="14" t="n"/>
      <c r="E576" s="17">
        <f>IFERROR(VLOOKUP(C576,Items!A:E,5,0),"")</f>
        <v/>
      </c>
    </row>
    <row r="577" ht="15" customHeight="1" s="12">
      <c r="A577" s="16" t="n"/>
      <c r="B577" s="14" t="n"/>
      <c r="C577" s="14" t="n"/>
      <c r="D577" s="14" t="n"/>
      <c r="E577" s="17">
        <f>IFERROR(VLOOKUP(C577,Items!A:E,5,0),"")</f>
        <v/>
      </c>
    </row>
    <row r="578" ht="15" customHeight="1" s="12">
      <c r="A578" s="16" t="n"/>
      <c r="B578" s="14" t="n"/>
      <c r="C578" s="14" t="n"/>
      <c r="D578" s="14" t="n"/>
      <c r="E578" s="17">
        <f>IFERROR(VLOOKUP(C578,Items!A:E,5,0),"")</f>
        <v/>
      </c>
    </row>
    <row r="579" ht="15" customHeight="1" s="12">
      <c r="A579" s="16" t="n"/>
      <c r="B579" s="14" t="n"/>
      <c r="C579" s="14" t="n"/>
      <c r="D579" s="14" t="n"/>
      <c r="E579" s="17">
        <f>IFERROR(VLOOKUP(C579,Items!A:E,5,0),"")</f>
        <v/>
      </c>
    </row>
    <row r="580" ht="15" customHeight="1" s="12">
      <c r="A580" s="16" t="n"/>
      <c r="B580" s="14" t="n"/>
      <c r="C580" s="14" t="n"/>
      <c r="D580" s="14" t="n"/>
      <c r="E580" s="17">
        <f>IFERROR(VLOOKUP(C580,Items!A:E,5,0),"")</f>
        <v/>
      </c>
    </row>
    <row r="581" ht="15" customHeight="1" s="12">
      <c r="A581" s="16" t="n"/>
      <c r="B581" s="14" t="n"/>
      <c r="C581" s="14" t="n"/>
      <c r="D581" s="14" t="n"/>
      <c r="E581" s="17">
        <f>IFERROR(VLOOKUP(C581,Items!A:E,5,0),"")</f>
        <v/>
      </c>
    </row>
    <row r="582" ht="15" customHeight="1" s="12">
      <c r="A582" s="16" t="n"/>
      <c r="B582" s="14" t="n"/>
      <c r="C582" s="14" t="n"/>
      <c r="D582" s="14" t="n"/>
      <c r="E582" s="17">
        <f>IFERROR(VLOOKUP(C582,Items!A:E,5,0),"")</f>
        <v/>
      </c>
    </row>
    <row r="583" ht="15" customHeight="1" s="12">
      <c r="A583" s="16" t="n"/>
      <c r="B583" s="14" t="n"/>
      <c r="C583" s="14" t="n"/>
      <c r="D583" s="14" t="n"/>
      <c r="E583" s="17">
        <f>IFERROR(VLOOKUP(C583,Items!A:E,5,0),"")</f>
        <v/>
      </c>
    </row>
    <row r="584" ht="15" customHeight="1" s="12">
      <c r="A584" s="16" t="n"/>
      <c r="B584" s="14" t="n"/>
      <c r="C584" s="14" t="n"/>
      <c r="D584" s="14" t="n"/>
      <c r="E584" s="17">
        <f>IFERROR(VLOOKUP(C584,Items!A:E,5,0),"")</f>
        <v/>
      </c>
    </row>
    <row r="585" ht="15" customHeight="1" s="12">
      <c r="A585" s="16" t="n"/>
      <c r="B585" s="14" t="n"/>
      <c r="C585" s="14" t="n"/>
      <c r="D585" s="14" t="n"/>
      <c r="E585" s="17">
        <f>IFERROR(VLOOKUP(C585,Items!A:E,5,0),"")</f>
        <v/>
      </c>
    </row>
    <row r="586" ht="15" customHeight="1" s="12">
      <c r="A586" s="16" t="n"/>
      <c r="B586" s="14" t="n"/>
      <c r="C586" s="14" t="n"/>
      <c r="D586" s="14" t="n"/>
      <c r="E586" s="17">
        <f>IFERROR(VLOOKUP(C586,Items!A:E,5,0),"")</f>
        <v/>
      </c>
    </row>
    <row r="587" ht="15" customHeight="1" s="12">
      <c r="A587" s="16" t="n"/>
      <c r="B587" s="14" t="n"/>
      <c r="C587" s="14" t="n"/>
      <c r="D587" s="14" t="n"/>
      <c r="E587" s="17">
        <f>IFERROR(VLOOKUP(C587,Items!A:E,5,0),"")</f>
        <v/>
      </c>
    </row>
    <row r="588" ht="15" customHeight="1" s="12">
      <c r="A588" s="16" t="n"/>
      <c r="B588" s="14" t="n"/>
      <c r="C588" s="14" t="n"/>
      <c r="D588" s="14" t="n"/>
      <c r="E588" s="17">
        <f>IFERROR(VLOOKUP(C588,Items!A:E,5,0),"")</f>
        <v/>
      </c>
    </row>
    <row r="589" ht="15" customHeight="1" s="12">
      <c r="A589" s="16" t="n"/>
      <c r="B589" s="14" t="n"/>
      <c r="C589" s="14" t="n"/>
      <c r="D589" s="14" t="n"/>
      <c r="E589" s="17">
        <f>IFERROR(VLOOKUP(C589,Items!A:E,5,0),"")</f>
        <v/>
      </c>
    </row>
    <row r="590" ht="15" customHeight="1" s="12">
      <c r="A590" s="16" t="n"/>
      <c r="B590" s="14" t="n"/>
      <c r="C590" s="14" t="n"/>
      <c r="D590" s="14" t="n"/>
      <c r="E590" s="17">
        <f>IFERROR(VLOOKUP(C590,Items!A:E,5,0),"")</f>
        <v/>
      </c>
    </row>
    <row r="591" ht="15" customHeight="1" s="12">
      <c r="A591" s="16" t="n"/>
      <c r="B591" s="14" t="n"/>
      <c r="C591" s="14" t="n"/>
      <c r="D591" s="14" t="n"/>
      <c r="E591" s="17">
        <f>IFERROR(VLOOKUP(C591,Items!A:E,5,0),"")</f>
        <v/>
      </c>
    </row>
    <row r="592" ht="15" customHeight="1" s="12">
      <c r="A592" s="16" t="n"/>
      <c r="B592" s="14" t="n"/>
      <c r="C592" s="14" t="n"/>
      <c r="D592" s="14" t="n"/>
      <c r="E592" s="17">
        <f>IFERROR(VLOOKUP(C592,Items!A:E,5,0),"")</f>
        <v/>
      </c>
    </row>
    <row r="593" ht="15" customHeight="1" s="12">
      <c r="A593" s="16" t="n"/>
      <c r="B593" s="14" t="n"/>
      <c r="C593" s="14" t="n"/>
      <c r="D593" s="14" t="n"/>
      <c r="E593" s="17">
        <f>IFERROR(VLOOKUP(C593,Items!A:E,5,0),"")</f>
        <v/>
      </c>
    </row>
    <row r="594" ht="15" customHeight="1" s="12">
      <c r="A594" s="16" t="n"/>
      <c r="B594" s="14" t="n"/>
      <c r="C594" s="14" t="n"/>
      <c r="D594" s="14" t="n"/>
      <c r="E594" s="17">
        <f>IFERROR(VLOOKUP(C594,Items!A:E,5,0),"")</f>
        <v/>
      </c>
    </row>
    <row r="595" ht="15" customHeight="1" s="12">
      <c r="A595" s="16" t="n"/>
      <c r="B595" s="14" t="n"/>
      <c r="C595" s="14" t="n"/>
      <c r="D595" s="14" t="n"/>
      <c r="E595" s="17">
        <f>IFERROR(VLOOKUP(C595,Items!A:E,5,0),"")</f>
        <v/>
      </c>
    </row>
    <row r="596" ht="15" customHeight="1" s="12">
      <c r="A596" s="16" t="n"/>
      <c r="B596" s="14" t="n"/>
      <c r="C596" s="14" t="n"/>
      <c r="D596" s="14" t="n"/>
      <c r="E596" s="17">
        <f>IFERROR(VLOOKUP(C596,Items!A:E,5,0),"")</f>
        <v/>
      </c>
    </row>
    <row r="597" ht="15" customHeight="1" s="12">
      <c r="A597" s="16" t="n"/>
      <c r="B597" s="14" t="n"/>
      <c r="C597" s="14" t="n"/>
      <c r="D597" s="14" t="n"/>
      <c r="E597" s="17">
        <f>IFERROR(VLOOKUP(C597,Items!A:E,5,0),"")</f>
        <v/>
      </c>
    </row>
    <row r="598" ht="15" customHeight="1" s="12">
      <c r="A598" s="16" t="n"/>
      <c r="B598" s="14" t="n"/>
      <c r="C598" s="14" t="n"/>
      <c r="D598" s="14" t="n"/>
      <c r="E598" s="17">
        <f>IFERROR(VLOOKUP(C598,Items!A:E,5,0),"")</f>
        <v/>
      </c>
    </row>
    <row r="599" ht="15" customHeight="1" s="12">
      <c r="A599" s="16" t="n"/>
      <c r="B599" s="14" t="n"/>
      <c r="C599" s="14" t="n"/>
      <c r="D599" s="14" t="n"/>
      <c r="E599" s="17">
        <f>IFERROR(VLOOKUP(C599,Items!A:E,5,0),"")</f>
        <v/>
      </c>
    </row>
    <row r="600" ht="15" customHeight="1" s="12">
      <c r="A600" s="16" t="n"/>
      <c r="B600" s="14" t="n"/>
      <c r="C600" s="14" t="n"/>
      <c r="D600" s="14" t="n"/>
      <c r="E600" s="17">
        <f>IFERROR(VLOOKUP(C600,Items!A:E,5,0),"")</f>
        <v/>
      </c>
    </row>
    <row r="601" ht="15" customHeight="1" s="12">
      <c r="A601" s="16" t="n"/>
      <c r="B601" s="14" t="n"/>
      <c r="C601" s="14" t="n"/>
      <c r="D601" s="14" t="n"/>
      <c r="E601" s="17">
        <f>IFERROR(VLOOKUP(C601,Items!A:E,5,0),"")</f>
        <v/>
      </c>
    </row>
    <row r="602" ht="15" customHeight="1" s="12">
      <c r="A602" s="16" t="n"/>
      <c r="B602" s="14" t="n"/>
      <c r="C602" s="14" t="n"/>
      <c r="D602" s="14" t="n"/>
      <c r="E602" s="17">
        <f>IFERROR(VLOOKUP(C602,Items!A:E,5,0),"")</f>
        <v/>
      </c>
    </row>
    <row r="603" ht="15" customHeight="1" s="12">
      <c r="A603" s="16" t="n"/>
      <c r="B603" s="14" t="n"/>
      <c r="C603" s="14" t="n"/>
      <c r="D603" s="14" t="n"/>
      <c r="E603" s="17">
        <f>IFERROR(VLOOKUP(C603,Items!A:E,5,0),"")</f>
        <v/>
      </c>
    </row>
    <row r="604" ht="15" customHeight="1" s="12">
      <c r="A604" s="16" t="n"/>
      <c r="B604" s="14" t="n"/>
      <c r="C604" s="14" t="n"/>
      <c r="D604" s="14" t="n"/>
      <c r="E604" s="17">
        <f>IFERROR(VLOOKUP(C604,Items!A:E,5,0),"")</f>
        <v/>
      </c>
    </row>
    <row r="605" ht="15" customHeight="1" s="12">
      <c r="A605" s="16" t="n"/>
      <c r="B605" s="14" t="n"/>
      <c r="C605" s="14" t="n"/>
      <c r="D605" s="14" t="n"/>
      <c r="E605" s="17">
        <f>IFERROR(VLOOKUP(C605,Items!A:E,5,0),"")</f>
        <v/>
      </c>
    </row>
    <row r="606" ht="15" customHeight="1" s="12">
      <c r="A606" s="16" t="n"/>
      <c r="B606" s="14" t="n"/>
      <c r="C606" s="14" t="n"/>
      <c r="D606" s="14" t="n"/>
      <c r="E606" s="17">
        <f>IFERROR(VLOOKUP(C606,Items!A:E,5,0),"")</f>
        <v/>
      </c>
    </row>
    <row r="607" ht="15" customHeight="1" s="12">
      <c r="A607" s="16" t="n"/>
      <c r="B607" s="14" t="n"/>
      <c r="C607" s="14" t="n"/>
      <c r="D607" s="14" t="n"/>
      <c r="E607" s="17">
        <f>IFERROR(VLOOKUP(C607,Items!A:E,5,0),"")</f>
        <v/>
      </c>
    </row>
    <row r="608" ht="15" customHeight="1" s="12">
      <c r="A608" s="16" t="n"/>
      <c r="B608" s="14" t="n"/>
      <c r="C608" s="14" t="n"/>
      <c r="D608" s="14" t="n"/>
      <c r="E608" s="17">
        <f>IFERROR(VLOOKUP(C608,Items!A:E,5,0),"")</f>
        <v/>
      </c>
    </row>
    <row r="609" ht="15" customHeight="1" s="12">
      <c r="A609" s="16" t="n"/>
      <c r="B609" s="14" t="n"/>
      <c r="C609" s="14" t="n"/>
      <c r="D609" s="14" t="n"/>
      <c r="E609" s="17">
        <f>IFERROR(VLOOKUP(C609,Items!A:E,5,0),"")</f>
        <v/>
      </c>
    </row>
    <row r="610" ht="15" customHeight="1" s="12">
      <c r="A610" s="16" t="n"/>
      <c r="B610" s="14" t="n"/>
      <c r="C610" s="14" t="n"/>
      <c r="D610" s="14" t="n"/>
      <c r="E610" s="17">
        <f>IFERROR(VLOOKUP(C610,Items!A:E,5,0),"")</f>
        <v/>
      </c>
    </row>
    <row r="611" ht="15" customHeight="1" s="12">
      <c r="A611" s="16" t="n"/>
      <c r="B611" s="14" t="n"/>
      <c r="C611" s="14" t="n"/>
      <c r="D611" s="14" t="n"/>
      <c r="E611" s="17">
        <f>IFERROR(VLOOKUP(C611,Items!A:E,5,0),"")</f>
        <v/>
      </c>
    </row>
    <row r="612" ht="15" customHeight="1" s="12">
      <c r="A612" s="16" t="n"/>
      <c r="B612" s="14" t="n"/>
      <c r="C612" s="14" t="n"/>
      <c r="D612" s="14" t="n"/>
      <c r="E612" s="17">
        <f>IFERROR(VLOOKUP(C612,Items!A:E,5,0),"")</f>
        <v/>
      </c>
    </row>
    <row r="613" ht="15" customHeight="1" s="12">
      <c r="A613" s="16" t="n"/>
      <c r="B613" s="14" t="n"/>
      <c r="C613" s="14" t="n"/>
      <c r="D613" s="14" t="n"/>
      <c r="E613" s="17">
        <f>IFERROR(VLOOKUP(C613,Items!A:E,5,0),"")</f>
        <v/>
      </c>
    </row>
    <row r="614" ht="15" customHeight="1" s="12">
      <c r="A614" s="16" t="n"/>
      <c r="B614" s="14" t="n"/>
      <c r="C614" s="14" t="n"/>
      <c r="D614" s="14" t="n"/>
      <c r="E614" s="17">
        <f>IFERROR(VLOOKUP(C614,Items!A:E,5,0),"")</f>
        <v/>
      </c>
    </row>
    <row r="615" ht="15" customHeight="1" s="12">
      <c r="A615" s="16" t="n"/>
      <c r="B615" s="14" t="n"/>
      <c r="C615" s="14" t="n"/>
      <c r="D615" s="14" t="n"/>
      <c r="E615" s="17">
        <f>IFERROR(VLOOKUP(C615,Items!A:E,5,0),"")</f>
        <v/>
      </c>
    </row>
    <row r="616" ht="15" customHeight="1" s="12">
      <c r="A616" s="16" t="n"/>
      <c r="B616" s="14" t="n"/>
      <c r="C616" s="14" t="n"/>
      <c r="D616" s="14" t="n"/>
      <c r="E616" s="17">
        <f>IFERROR(VLOOKUP(C616,Items!A:E,5,0),"")</f>
        <v/>
      </c>
    </row>
    <row r="617" ht="15" customHeight="1" s="12">
      <c r="A617" s="16" t="n"/>
      <c r="B617" s="14" t="n"/>
      <c r="C617" s="14" t="n"/>
      <c r="D617" s="14" t="n"/>
      <c r="E617" s="17">
        <f>IFERROR(VLOOKUP(C617,Items!A:E,5,0),"")</f>
        <v/>
      </c>
    </row>
    <row r="618" ht="15" customHeight="1" s="12">
      <c r="A618" s="16" t="n"/>
      <c r="B618" s="14" t="n"/>
      <c r="C618" s="14" t="n"/>
      <c r="D618" s="14" t="n"/>
      <c r="E618" s="17">
        <f>IFERROR(VLOOKUP(C618,Items!A:E,5,0),"")</f>
        <v/>
      </c>
    </row>
    <row r="619" ht="15" customHeight="1" s="12">
      <c r="A619" s="16" t="n"/>
      <c r="B619" s="14" t="n"/>
      <c r="C619" s="14" t="n"/>
      <c r="D619" s="14" t="n"/>
      <c r="E619" s="17">
        <f>IFERROR(VLOOKUP(C619,Items!A:E,5,0),"")</f>
        <v/>
      </c>
    </row>
    <row r="620" ht="15" customHeight="1" s="12">
      <c r="A620" s="16" t="n"/>
      <c r="B620" s="14" t="n"/>
      <c r="C620" s="14" t="n"/>
      <c r="D620" s="14" t="n"/>
      <c r="E620" s="17">
        <f>IFERROR(VLOOKUP(C620,Items!A:E,5,0),"")</f>
        <v/>
      </c>
    </row>
    <row r="621" ht="15" customHeight="1" s="12">
      <c r="A621" s="16" t="n"/>
      <c r="B621" s="14" t="n"/>
      <c r="C621" s="14" t="n"/>
      <c r="D621" s="14" t="n"/>
      <c r="E621" s="17">
        <f>IFERROR(VLOOKUP(C621,Items!A:E,5,0),"")</f>
        <v/>
      </c>
    </row>
    <row r="622" ht="15" customHeight="1" s="12">
      <c r="A622" s="16" t="n"/>
      <c r="B622" s="14" t="n"/>
      <c r="C622" s="14" t="n"/>
      <c r="D622" s="14" t="n"/>
      <c r="E622" s="17">
        <f>IFERROR(VLOOKUP(C622,Items!A:E,5,0),"")</f>
        <v/>
      </c>
    </row>
    <row r="623" ht="15" customHeight="1" s="12">
      <c r="A623" s="16" t="n"/>
      <c r="B623" s="14" t="n"/>
      <c r="C623" s="14" t="n"/>
      <c r="D623" s="14" t="n"/>
      <c r="E623" s="17">
        <f>IFERROR(VLOOKUP(C623,Items!A:E,5,0),"")</f>
        <v/>
      </c>
    </row>
    <row r="624" ht="15" customHeight="1" s="12">
      <c r="A624" s="16" t="n"/>
      <c r="B624" s="14" t="n"/>
      <c r="C624" s="14" t="n"/>
      <c r="D624" s="14" t="n"/>
      <c r="E624" s="17">
        <f>IFERROR(VLOOKUP(C624,Items!A:E,5,0),"")</f>
        <v/>
      </c>
    </row>
    <row r="625" ht="15" customHeight="1" s="12">
      <c r="A625" s="16" t="n"/>
      <c r="B625" s="14" t="n"/>
      <c r="C625" s="14" t="n"/>
      <c r="D625" s="14" t="n"/>
      <c r="E625" s="17">
        <f>IFERROR(VLOOKUP(C625,Items!A:E,5,0),"")</f>
        <v/>
      </c>
    </row>
    <row r="626" ht="15" customHeight="1" s="12">
      <c r="A626" s="16" t="n"/>
      <c r="B626" s="14" t="n"/>
      <c r="C626" s="14" t="n"/>
      <c r="D626" s="14" t="n"/>
      <c r="E626" s="17">
        <f>IFERROR(VLOOKUP(C626,Items!A:E,5,0),"")</f>
        <v/>
      </c>
    </row>
    <row r="627" ht="15" customHeight="1" s="12">
      <c r="A627" s="16" t="n"/>
      <c r="B627" s="14" t="n"/>
      <c r="C627" s="14" t="n"/>
      <c r="D627" s="14" t="n"/>
      <c r="E627" s="17">
        <f>IFERROR(VLOOKUP(C627,Items!A:E,5,0),"")</f>
        <v/>
      </c>
    </row>
    <row r="628" ht="15" customHeight="1" s="12">
      <c r="A628" s="16" t="n"/>
      <c r="B628" s="14" t="n"/>
      <c r="C628" s="14" t="n"/>
      <c r="D628" s="14" t="n"/>
      <c r="E628" s="17">
        <f>IFERROR(VLOOKUP(C628,Items!A:E,5,0),"")</f>
        <v/>
      </c>
    </row>
    <row r="629" ht="15" customHeight="1" s="12">
      <c r="A629" s="16" t="n"/>
      <c r="B629" s="14" t="n"/>
      <c r="C629" s="14" t="n"/>
      <c r="D629" s="14" t="n"/>
      <c r="E629" s="17">
        <f>IFERROR(VLOOKUP(C629,Items!A:E,5,0),"")</f>
        <v/>
      </c>
    </row>
    <row r="630" ht="15" customHeight="1" s="12">
      <c r="A630" s="16" t="n"/>
      <c r="B630" s="14" t="n"/>
      <c r="C630" s="14" t="n"/>
      <c r="D630" s="14" t="n"/>
      <c r="E630" s="17">
        <f>IFERROR(VLOOKUP(C630,Items!A:E,5,0),"")</f>
        <v/>
      </c>
    </row>
    <row r="631" ht="15" customHeight="1" s="12">
      <c r="A631" s="16" t="n"/>
      <c r="B631" s="14" t="n"/>
      <c r="C631" s="14" t="n"/>
      <c r="D631" s="14" t="n"/>
      <c r="E631" s="17">
        <f>IFERROR(VLOOKUP(C631,Items!A:E,5,0),"")</f>
        <v/>
      </c>
    </row>
    <row r="632" ht="15" customHeight="1" s="12">
      <c r="A632" s="16" t="n"/>
      <c r="B632" s="14" t="n"/>
      <c r="C632" s="14" t="n"/>
      <c r="D632" s="14" t="n"/>
      <c r="E632" s="17">
        <f>IFERROR(VLOOKUP(C632,Items!A:E,5,0),"")</f>
        <v/>
      </c>
    </row>
    <row r="633" ht="15" customHeight="1" s="12">
      <c r="A633" s="16" t="n"/>
      <c r="B633" s="14" t="n"/>
      <c r="C633" s="14" t="n"/>
      <c r="D633" s="14" t="n"/>
      <c r="E633" s="17">
        <f>IFERROR(VLOOKUP(C633,Items!A:E,5,0),"")</f>
        <v/>
      </c>
    </row>
    <row r="634" ht="15" customHeight="1" s="12">
      <c r="A634" s="16" t="n"/>
      <c r="B634" s="14" t="n"/>
      <c r="C634" s="14" t="n"/>
      <c r="D634" s="14" t="n"/>
      <c r="E634" s="17">
        <f>IFERROR(VLOOKUP(C634,Items!A:E,5,0),"")</f>
        <v/>
      </c>
    </row>
    <row r="635" ht="15" customHeight="1" s="12">
      <c r="A635" s="16" t="n"/>
      <c r="B635" s="14" t="n"/>
      <c r="C635" s="14" t="n"/>
      <c r="D635" s="14" t="n"/>
      <c r="E635" s="17">
        <f>IFERROR(VLOOKUP(C635,Items!A:E,5,0),"")</f>
        <v/>
      </c>
    </row>
    <row r="636" ht="15" customHeight="1" s="12">
      <c r="A636" s="16" t="n"/>
      <c r="B636" s="14" t="n"/>
      <c r="C636" s="14" t="n"/>
      <c r="D636" s="14" t="n"/>
      <c r="E636" s="17">
        <f>IFERROR(VLOOKUP(C636,Items!A:E,5,0),"")</f>
        <v/>
      </c>
    </row>
    <row r="637" ht="15" customHeight="1" s="12">
      <c r="A637" s="16" t="n"/>
      <c r="B637" s="14" t="n"/>
      <c r="C637" s="14" t="n"/>
      <c r="D637" s="14" t="n"/>
      <c r="E637" s="17">
        <f>IFERROR(VLOOKUP(C637,Items!A:E,5,0),"")</f>
        <v/>
      </c>
    </row>
    <row r="638" ht="15" customHeight="1" s="12">
      <c r="A638" s="16" t="n"/>
      <c r="B638" s="14" t="n"/>
      <c r="C638" s="14" t="n"/>
      <c r="D638" s="14" t="n"/>
      <c r="E638" s="17">
        <f>IFERROR(VLOOKUP(C638,Items!A:E,5,0),"")</f>
        <v/>
      </c>
    </row>
    <row r="639" ht="15" customHeight="1" s="12">
      <c r="A639" s="16" t="n"/>
      <c r="B639" s="14" t="n"/>
      <c r="C639" s="14" t="n"/>
      <c r="D639" s="14" t="n"/>
      <c r="E639" s="17">
        <f>IFERROR(VLOOKUP(C639,Items!A:E,5,0),"")</f>
        <v/>
      </c>
    </row>
    <row r="640" ht="15" customHeight="1" s="12">
      <c r="A640" s="16" t="n"/>
      <c r="B640" s="14" t="n"/>
      <c r="C640" s="14" t="n"/>
      <c r="D640" s="14" t="n"/>
      <c r="E640" s="17">
        <f>IFERROR(VLOOKUP(C640,Items!A:E,5,0),"")</f>
        <v/>
      </c>
    </row>
    <row r="641" ht="15" customHeight="1" s="12">
      <c r="A641" s="16" t="n"/>
      <c r="B641" s="14" t="n"/>
      <c r="C641" s="14" t="n"/>
      <c r="D641" s="14" t="n"/>
      <c r="E641" s="17">
        <f>IFERROR(VLOOKUP(C641,Items!A:E,5,0),"")</f>
        <v/>
      </c>
    </row>
    <row r="642" ht="15" customHeight="1" s="12">
      <c r="A642" s="16" t="n"/>
      <c r="B642" s="14" t="n"/>
      <c r="C642" s="14" t="n"/>
      <c r="D642" s="14" t="n"/>
      <c r="E642" s="17">
        <f>IFERROR(VLOOKUP(C642,Items!A:E,5,0),"")</f>
        <v/>
      </c>
    </row>
    <row r="643" ht="15" customHeight="1" s="12">
      <c r="A643" s="16" t="n"/>
      <c r="B643" s="14" t="n"/>
      <c r="C643" s="14" t="n"/>
      <c r="D643" s="14" t="n"/>
      <c r="E643" s="17">
        <f>IFERROR(VLOOKUP(C643,Items!A:E,5,0),"")</f>
        <v/>
      </c>
    </row>
    <row r="644" ht="15" customHeight="1" s="12">
      <c r="A644" s="16" t="n"/>
      <c r="B644" s="14" t="n"/>
      <c r="C644" s="14" t="n"/>
      <c r="D644" s="14" t="n"/>
      <c r="E644" s="17">
        <f>IFERROR(VLOOKUP(C644,Items!A:E,5,0),"")</f>
        <v/>
      </c>
    </row>
    <row r="645" ht="15" customHeight="1" s="12">
      <c r="A645" s="16" t="n"/>
      <c r="B645" s="14" t="n"/>
      <c r="C645" s="14" t="n"/>
      <c r="D645" s="14" t="n"/>
      <c r="E645" s="17">
        <f>IFERROR(VLOOKUP(C645,Items!A:E,5,0),"")</f>
        <v/>
      </c>
    </row>
    <row r="646" ht="15" customHeight="1" s="12">
      <c r="A646" s="16" t="n"/>
      <c r="B646" s="14" t="n"/>
      <c r="C646" s="14" t="n"/>
      <c r="D646" s="14" t="n"/>
      <c r="E646" s="17">
        <f>IFERROR(VLOOKUP(C646,Items!A:E,5,0),"")</f>
        <v/>
      </c>
    </row>
    <row r="647" ht="15" customHeight="1" s="12">
      <c r="A647" s="16" t="n"/>
      <c r="B647" s="14" t="n"/>
      <c r="C647" s="14" t="n"/>
      <c r="D647" s="14" t="n"/>
      <c r="E647" s="17">
        <f>IFERROR(VLOOKUP(C647,Items!A:E,5,0),"")</f>
        <v/>
      </c>
    </row>
    <row r="648" ht="15" customHeight="1" s="12">
      <c r="A648" s="16" t="n"/>
      <c r="B648" s="14" t="n"/>
      <c r="C648" s="14" t="n"/>
      <c r="D648" s="14" t="n"/>
      <c r="E648" s="17">
        <f>IFERROR(VLOOKUP(C648,Items!A:E,5,0),"")</f>
        <v/>
      </c>
    </row>
    <row r="649" ht="15" customHeight="1" s="12">
      <c r="A649" s="16" t="n"/>
      <c r="B649" s="14" t="n"/>
      <c r="C649" s="14" t="n"/>
      <c r="D649" s="14" t="n"/>
      <c r="E649" s="17">
        <f>IFERROR(VLOOKUP(C649,Items!A:E,5,0),"")</f>
        <v/>
      </c>
    </row>
    <row r="650" ht="15" customHeight="1" s="12">
      <c r="A650" s="16" t="n"/>
      <c r="B650" s="14" t="n"/>
      <c r="C650" s="14" t="n"/>
      <c r="D650" s="14" t="n"/>
      <c r="E650" s="17">
        <f>IFERROR(VLOOKUP(C650,Items!A:E,5,0),"")</f>
        <v/>
      </c>
    </row>
    <row r="651" ht="15" customHeight="1" s="12">
      <c r="A651" s="16" t="n"/>
      <c r="B651" s="14" t="n"/>
      <c r="C651" s="14" t="n"/>
      <c r="D651" s="14" t="n"/>
      <c r="E651" s="17">
        <f>IFERROR(VLOOKUP(C651,Items!A:E,5,0),"")</f>
        <v/>
      </c>
    </row>
    <row r="652" ht="15" customHeight="1" s="12">
      <c r="A652" s="16" t="n"/>
      <c r="B652" s="14" t="n"/>
      <c r="C652" s="14" t="n"/>
      <c r="D652" s="14" t="n"/>
      <c r="E652" s="17">
        <f>IFERROR(VLOOKUP(C652,Items!A:E,5,0),"")</f>
        <v/>
      </c>
    </row>
    <row r="653" ht="15" customHeight="1" s="12">
      <c r="A653" s="16" t="n"/>
      <c r="B653" s="14" t="n"/>
      <c r="C653" s="14" t="n"/>
      <c r="D653" s="14" t="n"/>
      <c r="E653" s="17">
        <f>IFERROR(VLOOKUP(C653,Items!A:E,5,0),"")</f>
        <v/>
      </c>
    </row>
    <row r="654" ht="15" customHeight="1" s="12">
      <c r="A654" s="16" t="n"/>
      <c r="B654" s="14" t="n"/>
      <c r="C654" s="14" t="n"/>
      <c r="D654" s="14" t="n"/>
      <c r="E654" s="17">
        <f>IFERROR(VLOOKUP(C654,Items!A:E,5,0),"")</f>
        <v/>
      </c>
    </row>
    <row r="655" ht="15" customHeight="1" s="12">
      <c r="A655" s="16" t="n"/>
      <c r="B655" s="14" t="n"/>
      <c r="C655" s="14" t="n"/>
      <c r="D655" s="14" t="n"/>
      <c r="E655" s="17">
        <f>IFERROR(VLOOKUP(C655,Items!A:E,5,0),"")</f>
        <v/>
      </c>
    </row>
    <row r="656" ht="15" customHeight="1" s="12">
      <c r="A656" s="16" t="n"/>
      <c r="B656" s="14" t="n"/>
      <c r="C656" s="14" t="n"/>
      <c r="D656" s="14" t="n"/>
      <c r="E656" s="17">
        <f>IFERROR(VLOOKUP(C656,Items!A:E,5,0),"")</f>
        <v/>
      </c>
    </row>
    <row r="657" ht="15" customHeight="1" s="12">
      <c r="A657" s="16" t="n"/>
      <c r="B657" s="14" t="n"/>
      <c r="C657" s="14" t="n"/>
      <c r="D657" s="14" t="n"/>
      <c r="E657" s="17">
        <f>IFERROR(VLOOKUP(C657,Items!A:E,5,0),"")</f>
        <v/>
      </c>
    </row>
    <row r="658" ht="15" customHeight="1" s="12">
      <c r="A658" s="16" t="n"/>
      <c r="B658" s="14" t="n"/>
      <c r="C658" s="14" t="n"/>
      <c r="D658" s="14" t="n"/>
      <c r="E658" s="17">
        <f>IFERROR(VLOOKUP(C658,Items!A:E,5,0),"")</f>
        <v/>
      </c>
    </row>
    <row r="659" ht="15" customHeight="1" s="12">
      <c r="A659" s="16" t="n"/>
      <c r="B659" s="14" t="n"/>
      <c r="C659" s="14" t="n"/>
      <c r="D659" s="14" t="n"/>
      <c r="E659" s="17">
        <f>IFERROR(VLOOKUP(C659,Items!A:E,5,0),"")</f>
        <v/>
      </c>
    </row>
    <row r="660" ht="15" customHeight="1" s="12">
      <c r="A660" s="16" t="n"/>
      <c r="B660" s="14" t="n"/>
      <c r="C660" s="14" t="n"/>
      <c r="D660" s="14" t="n"/>
      <c r="E660" s="17">
        <f>IFERROR(VLOOKUP(C660,Items!A:E,5,0),"")</f>
        <v/>
      </c>
    </row>
    <row r="661" ht="15" customHeight="1" s="12">
      <c r="A661" s="16" t="n"/>
      <c r="B661" s="14" t="n"/>
      <c r="C661" s="14" t="n"/>
      <c r="D661" s="14" t="n"/>
      <c r="E661" s="17">
        <f>IFERROR(VLOOKUP(C661,Items!A:E,5,0),"")</f>
        <v/>
      </c>
    </row>
    <row r="662" ht="15" customHeight="1" s="12">
      <c r="A662" s="16" t="n"/>
      <c r="B662" s="14" t="n"/>
      <c r="C662" s="14" t="n"/>
      <c r="D662" s="14" t="n"/>
      <c r="E662" s="17">
        <f>IFERROR(VLOOKUP(C662,Items!A:E,5,0),"")</f>
        <v/>
      </c>
    </row>
    <row r="663" ht="15" customHeight="1" s="12">
      <c r="A663" s="16" t="n"/>
      <c r="B663" s="14" t="n"/>
      <c r="C663" s="14" t="n"/>
      <c r="D663" s="14" t="n"/>
      <c r="E663" s="17">
        <f>IFERROR(VLOOKUP(C663,Items!A:E,5,0),"")</f>
        <v/>
      </c>
    </row>
    <row r="664" ht="15" customHeight="1" s="12">
      <c r="A664" s="16" t="n"/>
      <c r="B664" s="14" t="n"/>
      <c r="C664" s="14" t="n"/>
      <c r="D664" s="14" t="n"/>
      <c r="E664" s="17">
        <f>IFERROR(VLOOKUP(C664,Items!A:E,5,0),"")</f>
        <v/>
      </c>
    </row>
    <row r="665" ht="15" customHeight="1" s="12">
      <c r="A665" s="16" t="n"/>
      <c r="B665" s="14" t="n"/>
      <c r="C665" s="14" t="n"/>
      <c r="D665" s="14" t="n"/>
      <c r="E665" s="17">
        <f>IFERROR(VLOOKUP(C665,Items!A:E,5,0),"")</f>
        <v/>
      </c>
    </row>
    <row r="666" ht="15" customHeight="1" s="12">
      <c r="A666" s="16" t="n"/>
      <c r="B666" s="14" t="n"/>
      <c r="C666" s="14" t="n"/>
      <c r="D666" s="14" t="n"/>
      <c r="E666" s="17">
        <f>IFERROR(VLOOKUP(C666,Items!A:E,5,0),"")</f>
        <v/>
      </c>
    </row>
    <row r="667" ht="15" customHeight="1" s="12">
      <c r="A667" s="16" t="n"/>
      <c r="B667" s="14" t="n"/>
      <c r="C667" s="14" t="n"/>
      <c r="D667" s="14" t="n"/>
      <c r="E667" s="17">
        <f>IFERROR(VLOOKUP(C667,Items!A:E,5,0),"")</f>
        <v/>
      </c>
    </row>
    <row r="668" ht="15" customHeight="1" s="12">
      <c r="A668" s="16" t="n"/>
      <c r="B668" s="14" t="n"/>
      <c r="C668" s="14" t="n"/>
      <c r="D668" s="14" t="n"/>
      <c r="E668" s="17">
        <f>IFERROR(VLOOKUP(C668,Items!A:E,5,0),"")</f>
        <v/>
      </c>
    </row>
    <row r="669" ht="15" customHeight="1" s="12">
      <c r="A669" s="16" t="n"/>
      <c r="B669" s="14" t="n"/>
      <c r="C669" s="14" t="n"/>
      <c r="D669" s="14" t="n"/>
      <c r="E669" s="17">
        <f>IFERROR(VLOOKUP(C669,Items!A:E,5,0),"")</f>
        <v/>
      </c>
    </row>
    <row r="670" ht="15" customHeight="1" s="12">
      <c r="A670" s="16" t="n"/>
      <c r="B670" s="14" t="n"/>
      <c r="C670" s="14" t="n"/>
      <c r="D670" s="14" t="n"/>
      <c r="E670" s="17">
        <f>IFERROR(VLOOKUP(C670,Items!A:E,5,0),"")</f>
        <v/>
      </c>
    </row>
    <row r="671" ht="15" customHeight="1" s="12">
      <c r="A671" s="16" t="n"/>
      <c r="B671" s="14" t="n"/>
      <c r="C671" s="14" t="n"/>
      <c r="D671" s="14" t="n"/>
      <c r="E671" s="17">
        <f>IFERROR(VLOOKUP(C671,Items!A:E,5,0),"")</f>
        <v/>
      </c>
    </row>
    <row r="672" ht="15" customHeight="1" s="12">
      <c r="A672" s="16" t="n"/>
      <c r="B672" s="14" t="n"/>
      <c r="C672" s="14" t="n"/>
      <c r="D672" s="14" t="n"/>
      <c r="E672" s="17">
        <f>IFERROR(VLOOKUP(C672,Items!A:E,5,0),"")</f>
        <v/>
      </c>
    </row>
    <row r="673" ht="15" customHeight="1" s="12">
      <c r="A673" s="16" t="n"/>
      <c r="B673" s="14" t="n"/>
      <c r="C673" s="14" t="n"/>
      <c r="D673" s="14" t="n"/>
      <c r="E673" s="17">
        <f>IFERROR(VLOOKUP(C673,Items!A:E,5,0),"")</f>
        <v/>
      </c>
    </row>
    <row r="674" ht="15" customHeight="1" s="12">
      <c r="A674" s="16" t="n"/>
      <c r="B674" s="14" t="n"/>
      <c r="C674" s="14" t="n"/>
      <c r="D674" s="14" t="n"/>
      <c r="E674" s="17">
        <f>IFERROR(VLOOKUP(C674,Items!A:E,5,0),"")</f>
        <v/>
      </c>
    </row>
    <row r="675" ht="15" customHeight="1" s="12">
      <c r="A675" s="16" t="n"/>
      <c r="B675" s="14" t="n"/>
      <c r="C675" s="14" t="n"/>
      <c r="D675" s="14" t="n"/>
      <c r="E675" s="17">
        <f>IFERROR(VLOOKUP(C675,Items!A:E,5,0),"")</f>
        <v/>
      </c>
    </row>
    <row r="676" ht="15" customHeight="1" s="12">
      <c r="A676" s="16" t="n"/>
      <c r="B676" s="14" t="n"/>
      <c r="C676" s="14" t="n"/>
      <c r="D676" s="14" t="n"/>
      <c r="E676" s="17">
        <f>IFERROR(VLOOKUP(C676,Items!A:E,5,0),"")</f>
        <v/>
      </c>
    </row>
    <row r="677" ht="15" customHeight="1" s="12">
      <c r="A677" s="16" t="n"/>
      <c r="B677" s="14" t="n"/>
      <c r="C677" s="14" t="n"/>
      <c r="D677" s="14" t="n"/>
      <c r="E677" s="17">
        <f>IFERROR(VLOOKUP(C677,Items!A:E,5,0),"")</f>
        <v/>
      </c>
    </row>
    <row r="678" ht="15" customHeight="1" s="12">
      <c r="A678" s="16" t="n"/>
      <c r="B678" s="14" t="n"/>
      <c r="C678" s="14" t="n"/>
      <c r="D678" s="14" t="n"/>
      <c r="E678" s="17">
        <f>IFERROR(VLOOKUP(C678,Items!A:E,5,0),"")</f>
        <v/>
      </c>
    </row>
    <row r="679" ht="15" customHeight="1" s="12">
      <c r="A679" s="16" t="n"/>
      <c r="B679" s="14" t="n"/>
      <c r="C679" s="14" t="n"/>
      <c r="D679" s="14" t="n"/>
      <c r="E679" s="17">
        <f>IFERROR(VLOOKUP(C679,Items!A:E,5,0),"")</f>
        <v/>
      </c>
    </row>
    <row r="680" ht="15" customHeight="1" s="12">
      <c r="A680" s="16" t="n"/>
      <c r="B680" s="14" t="n"/>
      <c r="C680" s="14" t="n"/>
      <c r="D680" s="14" t="n"/>
      <c r="E680" s="17">
        <f>IFERROR(VLOOKUP(C680,Items!A:E,5,0),"")</f>
        <v/>
      </c>
    </row>
    <row r="681" ht="15" customHeight="1" s="12">
      <c r="A681" s="16" t="n"/>
      <c r="B681" s="14" t="n"/>
      <c r="C681" s="14" t="n"/>
      <c r="D681" s="14" t="n"/>
      <c r="E681" s="17">
        <f>IFERROR(VLOOKUP(C681,Items!A:E,5,0),"")</f>
        <v/>
      </c>
    </row>
    <row r="682" ht="15" customHeight="1" s="12">
      <c r="A682" s="16" t="n"/>
      <c r="B682" s="14" t="n"/>
      <c r="C682" s="14" t="n"/>
      <c r="D682" s="14" t="n"/>
      <c r="E682" s="17">
        <f>IFERROR(VLOOKUP(C682,Items!A:E,5,0),"")</f>
        <v/>
      </c>
    </row>
    <row r="683" ht="15" customHeight="1" s="12">
      <c r="A683" s="16" t="n"/>
      <c r="B683" s="14" t="n"/>
      <c r="C683" s="14" t="n"/>
      <c r="D683" s="14" t="n"/>
      <c r="E683" s="17">
        <f>IFERROR(VLOOKUP(C683,Items!A:E,5,0),"")</f>
        <v/>
      </c>
    </row>
    <row r="684" ht="15" customHeight="1" s="12">
      <c r="A684" s="16" t="n"/>
      <c r="B684" s="14" t="n"/>
      <c r="C684" s="14" t="n"/>
      <c r="D684" s="14" t="n"/>
      <c r="E684" s="17">
        <f>IFERROR(VLOOKUP(C684,Items!A:E,5,0),"")</f>
        <v/>
      </c>
    </row>
    <row r="685" ht="15" customHeight="1" s="12">
      <c r="A685" s="16" t="n"/>
      <c r="B685" s="14" t="n"/>
      <c r="C685" s="14" t="n"/>
      <c r="D685" s="14" t="n"/>
      <c r="E685" s="17">
        <f>IFERROR(VLOOKUP(C685,Items!A:E,5,0),"")</f>
        <v/>
      </c>
    </row>
    <row r="686" ht="15" customHeight="1" s="12">
      <c r="A686" s="16" t="n"/>
      <c r="B686" s="14" t="n"/>
      <c r="C686" s="14" t="n"/>
      <c r="D686" s="14" t="n"/>
      <c r="E686" s="17">
        <f>IFERROR(VLOOKUP(C686,Items!A:E,5,0),"")</f>
        <v/>
      </c>
    </row>
    <row r="687" ht="15" customHeight="1" s="12">
      <c r="A687" s="16" t="n"/>
      <c r="B687" s="14" t="n"/>
      <c r="C687" s="14" t="n"/>
      <c r="D687" s="14" t="n"/>
      <c r="E687" s="17">
        <f>IFERROR(VLOOKUP(C687,Items!A:E,5,0),"")</f>
        <v/>
      </c>
    </row>
    <row r="688" ht="15" customHeight="1" s="12">
      <c r="A688" s="16" t="n"/>
      <c r="B688" s="14" t="n"/>
      <c r="C688" s="14" t="n"/>
      <c r="D688" s="14" t="n"/>
      <c r="E688" s="17">
        <f>IFERROR(VLOOKUP(C688,Items!A:E,5,0),"")</f>
        <v/>
      </c>
    </row>
    <row r="689" ht="15" customHeight="1" s="12">
      <c r="A689" s="16" t="n"/>
      <c r="B689" s="14" t="n"/>
      <c r="C689" s="14" t="n"/>
      <c r="D689" s="14" t="n"/>
      <c r="E689" s="17">
        <f>IFERROR(VLOOKUP(C689,Items!A:E,5,0),"")</f>
        <v/>
      </c>
    </row>
    <row r="690" ht="15" customHeight="1" s="12">
      <c r="A690" s="16" t="n"/>
      <c r="B690" s="14" t="n"/>
      <c r="C690" s="14" t="n"/>
      <c r="D690" s="14" t="n"/>
      <c r="E690" s="17">
        <f>IFERROR(VLOOKUP(C690,Items!A:E,5,0),"")</f>
        <v/>
      </c>
    </row>
    <row r="691" ht="15" customHeight="1" s="12">
      <c r="A691" s="16" t="n"/>
      <c r="B691" s="14" t="n"/>
      <c r="C691" s="14" t="n"/>
      <c r="D691" s="14" t="n"/>
      <c r="E691" s="17">
        <f>IFERROR(VLOOKUP(C691,Items!A:E,5,0),"")</f>
        <v/>
      </c>
    </row>
    <row r="692" ht="15" customHeight="1" s="12">
      <c r="A692" s="16" t="n"/>
      <c r="B692" s="14" t="n"/>
      <c r="C692" s="14" t="n"/>
      <c r="D692" s="14" t="n"/>
      <c r="E692" s="17">
        <f>IFERROR(VLOOKUP(C692,Items!A:E,5,0),"")</f>
        <v/>
      </c>
    </row>
    <row r="693" ht="15" customHeight="1" s="12">
      <c r="A693" s="16" t="n"/>
      <c r="B693" s="14" t="n"/>
      <c r="C693" s="14" t="n"/>
      <c r="D693" s="14" t="n"/>
      <c r="E693" s="17">
        <f>IFERROR(VLOOKUP(C693,Items!A:E,5,0),"")</f>
        <v/>
      </c>
    </row>
    <row r="694" ht="15" customHeight="1" s="12">
      <c r="A694" s="16" t="n"/>
      <c r="B694" s="14" t="n"/>
      <c r="C694" s="14" t="n"/>
      <c r="D694" s="14" t="n"/>
      <c r="E694" s="17">
        <f>IFERROR(VLOOKUP(C694,Items!A:E,5,0),"")</f>
        <v/>
      </c>
    </row>
    <row r="695" ht="15" customHeight="1" s="12">
      <c r="A695" s="16" t="n"/>
      <c r="B695" s="14" t="n"/>
      <c r="C695" s="14" t="n"/>
      <c r="D695" s="14" t="n"/>
      <c r="E695" s="17">
        <f>IFERROR(VLOOKUP(C695,Items!A:E,5,0),"")</f>
        <v/>
      </c>
    </row>
    <row r="696" ht="15" customHeight="1" s="12">
      <c r="A696" s="16" t="n"/>
      <c r="B696" s="14" t="n"/>
      <c r="C696" s="14" t="n"/>
      <c r="D696" s="14" t="n"/>
      <c r="E696" s="17">
        <f>IFERROR(VLOOKUP(C696,Items!A:E,5,0),"")</f>
        <v/>
      </c>
    </row>
    <row r="697" ht="15" customHeight="1" s="12">
      <c r="A697" s="16" t="n"/>
      <c r="B697" s="14" t="n"/>
      <c r="C697" s="14" t="n"/>
      <c r="D697" s="14" t="n"/>
      <c r="E697" s="17">
        <f>IFERROR(VLOOKUP(C697,Items!A:E,5,0),"")</f>
        <v/>
      </c>
    </row>
    <row r="698" ht="15" customHeight="1" s="12">
      <c r="A698" s="16" t="n"/>
      <c r="B698" s="14" t="n"/>
      <c r="C698" s="14" t="n"/>
      <c r="D698" s="14" t="n"/>
      <c r="E698" s="17">
        <f>IFERROR(VLOOKUP(C698,Items!A:E,5,0),"")</f>
        <v/>
      </c>
    </row>
    <row r="699" ht="15" customHeight="1" s="12">
      <c r="A699" s="16" t="n"/>
      <c r="B699" s="14" t="n"/>
      <c r="C699" s="14" t="n"/>
      <c r="D699" s="14" t="n"/>
      <c r="E699" s="17">
        <f>IFERROR(VLOOKUP(C699,Items!A:E,5,0),"")</f>
        <v/>
      </c>
    </row>
    <row r="700" ht="15" customHeight="1" s="12">
      <c r="A700" s="16" t="n"/>
      <c r="B700" s="14" t="n"/>
      <c r="C700" s="14" t="n"/>
      <c r="D700" s="14" t="n"/>
      <c r="E700" s="17">
        <f>IFERROR(VLOOKUP(C700,Items!A:E,5,0),"")</f>
        <v/>
      </c>
    </row>
    <row r="701" ht="15" customHeight="1" s="12">
      <c r="A701" s="16" t="n"/>
      <c r="B701" s="14" t="n"/>
      <c r="C701" s="14" t="n"/>
      <c r="D701" s="14" t="n"/>
      <c r="E701" s="17">
        <f>IFERROR(VLOOKUP(C701,Items!A:E,5,0),"")</f>
        <v/>
      </c>
    </row>
    <row r="702" ht="15" customHeight="1" s="12">
      <c r="A702" s="16" t="n"/>
      <c r="B702" s="14" t="n"/>
      <c r="C702" s="14" t="n"/>
      <c r="D702" s="14" t="n"/>
      <c r="E702" s="17">
        <f>IFERROR(VLOOKUP(C702,Items!A:E,5,0),"")</f>
        <v/>
      </c>
    </row>
    <row r="703" ht="15" customHeight="1" s="12">
      <c r="A703" s="16" t="n"/>
      <c r="B703" s="14" t="n"/>
      <c r="C703" s="14" t="n"/>
      <c r="D703" s="14" t="n"/>
      <c r="E703" s="17">
        <f>IFERROR(VLOOKUP(C703,Items!A:E,5,0),"")</f>
        <v/>
      </c>
    </row>
    <row r="704" ht="15" customHeight="1" s="12">
      <c r="A704" s="16" t="n"/>
      <c r="B704" s="14" t="n"/>
      <c r="C704" s="14" t="n"/>
      <c r="D704" s="14" t="n"/>
      <c r="E704" s="17">
        <f>IFERROR(VLOOKUP(C704,Items!A:E,5,0),"")</f>
        <v/>
      </c>
    </row>
    <row r="705" ht="15" customHeight="1" s="12">
      <c r="A705" s="16" t="n"/>
      <c r="B705" s="14" t="n"/>
      <c r="C705" s="14" t="n"/>
      <c r="D705" s="14" t="n"/>
      <c r="E705" s="17">
        <f>IFERROR(VLOOKUP(C705,Items!A:E,5,0),"")</f>
        <v/>
      </c>
    </row>
    <row r="706" ht="15" customHeight="1" s="12">
      <c r="A706" s="16" t="n"/>
      <c r="B706" s="14" t="n"/>
      <c r="C706" s="14" t="n"/>
      <c r="D706" s="14" t="n"/>
      <c r="E706" s="17">
        <f>IFERROR(VLOOKUP(C706,Items!A:E,5,0),"")</f>
        <v/>
      </c>
    </row>
    <row r="707" ht="15" customHeight="1" s="12">
      <c r="A707" s="16" t="n"/>
      <c r="B707" s="14" t="n"/>
      <c r="C707" s="14" t="n"/>
      <c r="D707" s="14" t="n"/>
      <c r="E707" s="17">
        <f>IFERROR(VLOOKUP(C707,Items!A:E,5,0),"")</f>
        <v/>
      </c>
    </row>
    <row r="708" ht="15" customHeight="1" s="12">
      <c r="A708" s="16" t="n"/>
      <c r="B708" s="14" t="n"/>
      <c r="C708" s="14" t="n"/>
      <c r="D708" s="14" t="n"/>
      <c r="E708" s="17">
        <f>IFERROR(VLOOKUP(C708,Items!A:E,5,0),"")</f>
        <v/>
      </c>
    </row>
    <row r="709" ht="15" customHeight="1" s="12">
      <c r="A709" s="16" t="n"/>
      <c r="B709" s="14" t="n"/>
      <c r="C709" s="14" t="n"/>
      <c r="D709" s="14" t="n"/>
      <c r="E709" s="17">
        <f>IFERROR(VLOOKUP(C709,Items!A:E,5,0),"")</f>
        <v/>
      </c>
    </row>
    <row r="710" ht="15" customHeight="1" s="12">
      <c r="A710" s="16" t="n"/>
      <c r="B710" s="14" t="n"/>
      <c r="C710" s="14" t="n"/>
      <c r="D710" s="14" t="n"/>
      <c r="E710" s="17">
        <f>IFERROR(VLOOKUP(C710,Items!A:E,5,0),"")</f>
        <v/>
      </c>
    </row>
    <row r="711" ht="15" customHeight="1" s="12">
      <c r="A711" s="16" t="n"/>
      <c r="B711" s="14" t="n"/>
      <c r="C711" s="14" t="n"/>
      <c r="D711" s="14" t="n"/>
      <c r="E711" s="17">
        <f>IFERROR(VLOOKUP(C711,Items!A:E,5,0),"")</f>
        <v/>
      </c>
    </row>
    <row r="712" ht="15" customHeight="1" s="12">
      <c r="A712" s="16" t="n"/>
      <c r="B712" s="14" t="n"/>
      <c r="C712" s="14" t="n"/>
      <c r="D712" s="14" t="n"/>
      <c r="E712" s="17">
        <f>IFERROR(VLOOKUP(C712,Items!A:E,5,0),"")</f>
        <v/>
      </c>
    </row>
    <row r="713" ht="15" customHeight="1" s="12">
      <c r="A713" s="16" t="n"/>
      <c r="B713" s="14" t="n"/>
      <c r="C713" s="14" t="n"/>
      <c r="D713" s="14" t="n"/>
      <c r="E713" s="17">
        <f>IFERROR(VLOOKUP(C713,Items!A:E,5,0),"")</f>
        <v/>
      </c>
    </row>
    <row r="714" ht="15" customHeight="1" s="12">
      <c r="A714" s="16" t="n"/>
      <c r="B714" s="14" t="n"/>
      <c r="C714" s="14" t="n"/>
      <c r="D714" s="14" t="n"/>
      <c r="E714" s="17">
        <f>IFERROR(VLOOKUP(C714,Items!A:E,5,0),"")</f>
        <v/>
      </c>
    </row>
    <row r="715" ht="15" customHeight="1" s="12">
      <c r="A715" s="16" t="n"/>
      <c r="B715" s="14" t="n"/>
      <c r="C715" s="14" t="n"/>
      <c r="D715" s="14" t="n"/>
      <c r="E715" s="17">
        <f>IFERROR(VLOOKUP(C715,Items!A:E,5,0),"")</f>
        <v/>
      </c>
    </row>
    <row r="716" ht="15" customHeight="1" s="12">
      <c r="A716" s="16" t="n"/>
      <c r="B716" s="14" t="n"/>
      <c r="C716" s="14" t="n"/>
      <c r="D716" s="14" t="n"/>
      <c r="E716" s="17">
        <f>IFERROR(VLOOKUP(C716,Items!A:E,5,0),"")</f>
        <v/>
      </c>
    </row>
    <row r="717" ht="15" customHeight="1" s="12">
      <c r="A717" s="16" t="n"/>
      <c r="B717" s="14" t="n"/>
      <c r="C717" s="14" t="n"/>
      <c r="D717" s="14" t="n"/>
      <c r="E717" s="17">
        <f>IFERROR(VLOOKUP(C717,Items!A:E,5,0),"")</f>
        <v/>
      </c>
    </row>
    <row r="718" ht="15" customHeight="1" s="12">
      <c r="A718" s="16" t="n"/>
      <c r="B718" s="14" t="n"/>
      <c r="C718" s="14" t="n"/>
      <c r="D718" s="14" t="n"/>
      <c r="E718" s="17">
        <f>IFERROR(VLOOKUP(C718,Items!A:E,5,0),"")</f>
        <v/>
      </c>
    </row>
    <row r="719" ht="15" customHeight="1" s="12">
      <c r="A719" s="16" t="n"/>
      <c r="B719" s="14" t="n"/>
      <c r="C719" s="14" t="n"/>
      <c r="D719" s="14" t="n"/>
      <c r="E719" s="17">
        <f>IFERROR(VLOOKUP(C719,Items!A:E,5,0),"")</f>
        <v/>
      </c>
    </row>
    <row r="720" ht="15" customHeight="1" s="12">
      <c r="A720" s="16" t="n"/>
      <c r="B720" s="14" t="n"/>
      <c r="C720" s="14" t="n"/>
      <c r="D720" s="14" t="n"/>
      <c r="E720" s="17">
        <f>IFERROR(VLOOKUP(C720,Items!A:E,5,0),"")</f>
        <v/>
      </c>
    </row>
    <row r="721" ht="15" customHeight="1" s="12">
      <c r="A721" s="16" t="n"/>
      <c r="B721" s="14" t="n"/>
      <c r="C721" s="14" t="n"/>
      <c r="D721" s="14" t="n"/>
      <c r="E721" s="17">
        <f>IFERROR(VLOOKUP(C721,Items!A:E,5,0),"")</f>
        <v/>
      </c>
    </row>
    <row r="722" ht="15" customHeight="1" s="12">
      <c r="A722" s="16" t="n"/>
      <c r="B722" s="14" t="n"/>
      <c r="C722" s="14" t="n"/>
      <c r="D722" s="14" t="n"/>
      <c r="E722" s="17">
        <f>IFERROR(VLOOKUP(C722,Items!A:E,5,0),"")</f>
        <v/>
      </c>
    </row>
    <row r="723" ht="15" customHeight="1" s="12">
      <c r="A723" s="16" t="n"/>
      <c r="B723" s="14" t="n"/>
      <c r="C723" s="14" t="n"/>
      <c r="D723" s="14" t="n"/>
      <c r="E723" s="17">
        <f>IFERROR(VLOOKUP(C723,Items!A:E,5,0),"")</f>
        <v/>
      </c>
    </row>
    <row r="724" ht="15" customHeight="1" s="12">
      <c r="A724" s="16" t="n"/>
      <c r="B724" s="14" t="n"/>
      <c r="C724" s="14" t="n"/>
      <c r="D724" s="14" t="n"/>
      <c r="E724" s="17">
        <f>IFERROR(VLOOKUP(C724,Items!A:E,5,0),"")</f>
        <v/>
      </c>
    </row>
    <row r="725" ht="15" customHeight="1" s="12">
      <c r="A725" s="16" t="n"/>
      <c r="B725" s="14" t="n"/>
      <c r="C725" s="14" t="n"/>
      <c r="D725" s="14" t="n"/>
      <c r="E725" s="17">
        <f>IFERROR(VLOOKUP(C725,Items!A:E,5,0),"")</f>
        <v/>
      </c>
    </row>
    <row r="726" ht="15" customHeight="1" s="12">
      <c r="A726" s="16" t="n"/>
      <c r="B726" s="14" t="n"/>
      <c r="C726" s="14" t="n"/>
      <c r="D726" s="14" t="n"/>
      <c r="E726" s="17">
        <f>IFERROR(VLOOKUP(C726,Items!A:E,5,0),"")</f>
        <v/>
      </c>
    </row>
    <row r="727" ht="15" customHeight="1" s="12">
      <c r="A727" s="16" t="n"/>
      <c r="B727" s="14" t="n"/>
      <c r="C727" s="14" t="n"/>
      <c r="D727" s="14" t="n"/>
      <c r="E727" s="17">
        <f>IFERROR(VLOOKUP(C727,Items!A:E,5,0),"")</f>
        <v/>
      </c>
    </row>
    <row r="728" ht="15" customHeight="1" s="12">
      <c r="A728" s="16" t="n"/>
      <c r="B728" s="14" t="n"/>
      <c r="C728" s="14" t="n"/>
      <c r="D728" s="14" t="n"/>
      <c r="E728" s="17">
        <f>IFERROR(VLOOKUP(C728,Items!A:E,5,0),"")</f>
        <v/>
      </c>
    </row>
    <row r="729" ht="15" customHeight="1" s="12">
      <c r="A729" s="16" t="n"/>
      <c r="B729" s="14" t="n"/>
      <c r="C729" s="14" t="n"/>
      <c r="D729" s="14" t="n"/>
      <c r="E729" s="17">
        <f>IFERROR(VLOOKUP(C729,Items!A:E,5,0),"")</f>
        <v/>
      </c>
    </row>
    <row r="730" ht="15" customHeight="1" s="12">
      <c r="A730" s="16" t="n"/>
      <c r="B730" s="14" t="n"/>
      <c r="C730" s="14" t="n"/>
      <c r="D730" s="14" t="n"/>
      <c r="E730" s="17">
        <f>IFERROR(VLOOKUP(C730,Items!A:E,5,0),"")</f>
        <v/>
      </c>
    </row>
    <row r="731" ht="15" customHeight="1" s="12">
      <c r="A731" s="16" t="n"/>
      <c r="B731" s="14" t="n"/>
      <c r="C731" s="14" t="n"/>
      <c r="D731" s="14" t="n"/>
      <c r="E731" s="17">
        <f>IFERROR(VLOOKUP(C731,Items!A:E,5,0),"")</f>
        <v/>
      </c>
    </row>
    <row r="732" ht="15" customHeight="1" s="12">
      <c r="A732" s="16" t="n"/>
      <c r="B732" s="14" t="n"/>
      <c r="C732" s="14" t="n"/>
      <c r="D732" s="14" t="n"/>
      <c r="E732" s="17">
        <f>IFERROR(VLOOKUP(C732,Items!A:E,5,0),"")</f>
        <v/>
      </c>
    </row>
    <row r="733" ht="15" customHeight="1" s="12">
      <c r="A733" s="16" t="n"/>
      <c r="B733" s="14" t="n"/>
      <c r="C733" s="14" t="n"/>
      <c r="D733" s="14" t="n"/>
      <c r="E733" s="17">
        <f>IFERROR(VLOOKUP(C733,Items!A:E,5,0),"")</f>
        <v/>
      </c>
    </row>
    <row r="734" ht="15" customHeight="1" s="12">
      <c r="A734" s="16" t="n"/>
      <c r="B734" s="14" t="n"/>
      <c r="C734" s="14" t="n"/>
      <c r="D734" s="14" t="n"/>
      <c r="E734" s="17">
        <f>IFERROR(VLOOKUP(C734,Items!A:E,5,0),"")</f>
        <v/>
      </c>
    </row>
    <row r="735" ht="15" customHeight="1" s="12">
      <c r="A735" s="16" t="n"/>
      <c r="B735" s="14" t="n"/>
      <c r="C735" s="14" t="n"/>
      <c r="D735" s="14" t="n"/>
      <c r="E735" s="17">
        <f>IFERROR(VLOOKUP(C735,Items!A:E,5,0),"")</f>
        <v/>
      </c>
    </row>
    <row r="736" ht="15" customHeight="1" s="12">
      <c r="A736" s="16" t="n"/>
      <c r="B736" s="14" t="n"/>
      <c r="C736" s="14" t="n"/>
      <c r="D736" s="14" t="n"/>
      <c r="E736" s="17">
        <f>IFERROR(VLOOKUP(C736,Items!A:E,5,0),"")</f>
        <v/>
      </c>
    </row>
    <row r="737" ht="15" customHeight="1" s="12">
      <c r="A737" s="16" t="n"/>
      <c r="B737" s="14" t="n"/>
      <c r="C737" s="14" t="n"/>
      <c r="D737" s="14" t="n"/>
      <c r="E737" s="17">
        <f>IFERROR(VLOOKUP(C737,Items!A:E,5,0),"")</f>
        <v/>
      </c>
    </row>
    <row r="738" ht="15" customHeight="1" s="12">
      <c r="A738" s="16" t="n"/>
      <c r="B738" s="14" t="n"/>
      <c r="C738" s="14" t="n"/>
      <c r="D738" s="14" t="n"/>
      <c r="E738" s="17">
        <f>IFERROR(VLOOKUP(C738,Items!A:E,5,0),"")</f>
        <v/>
      </c>
    </row>
    <row r="739" ht="15" customHeight="1" s="12">
      <c r="A739" s="16" t="n"/>
      <c r="B739" s="14" t="n"/>
      <c r="C739" s="14" t="n"/>
      <c r="D739" s="14" t="n"/>
      <c r="E739" s="17">
        <f>IFERROR(VLOOKUP(C739,Items!A:E,5,0),"")</f>
        <v/>
      </c>
    </row>
    <row r="740" ht="15" customHeight="1" s="12">
      <c r="A740" s="16" t="n"/>
      <c r="B740" s="14" t="n"/>
      <c r="C740" s="14" t="n"/>
      <c r="D740" s="14" t="n"/>
      <c r="E740" s="17">
        <f>IFERROR(VLOOKUP(C740,Items!A:E,5,0),"")</f>
        <v/>
      </c>
    </row>
    <row r="741" ht="15" customHeight="1" s="12">
      <c r="A741" s="16" t="n"/>
      <c r="B741" s="14" t="n"/>
      <c r="C741" s="14" t="n"/>
      <c r="D741" s="14" t="n"/>
      <c r="E741" s="17">
        <f>IFERROR(VLOOKUP(C741,Items!A:E,5,0),"")</f>
        <v/>
      </c>
    </row>
    <row r="742" ht="15" customHeight="1" s="12">
      <c r="A742" s="16" t="n"/>
      <c r="B742" s="14" t="n"/>
      <c r="C742" s="14" t="n"/>
      <c r="D742" s="14" t="n"/>
      <c r="E742" s="17">
        <f>IFERROR(VLOOKUP(C742,Items!A:E,5,0),"")</f>
        <v/>
      </c>
    </row>
    <row r="743" ht="15" customHeight="1" s="12">
      <c r="A743" s="16" t="n"/>
      <c r="B743" s="14" t="n"/>
      <c r="C743" s="14" t="n"/>
      <c r="D743" s="14" t="n"/>
      <c r="E743" s="17">
        <f>IFERROR(VLOOKUP(C743,Items!A:E,5,0),"")</f>
        <v/>
      </c>
    </row>
    <row r="744" ht="15" customHeight="1" s="12">
      <c r="A744" s="16" t="n"/>
      <c r="B744" s="14" t="n"/>
      <c r="C744" s="14" t="n"/>
      <c r="D744" s="14" t="n"/>
      <c r="E744" s="17">
        <f>IFERROR(VLOOKUP(C744,Items!A:E,5,0),"")</f>
        <v/>
      </c>
    </row>
    <row r="745" ht="15" customHeight="1" s="12">
      <c r="A745" s="16" t="n"/>
      <c r="B745" s="14" t="n"/>
      <c r="C745" s="14" t="n"/>
      <c r="D745" s="14" t="n"/>
      <c r="E745" s="17">
        <f>IFERROR(VLOOKUP(C745,Items!A:E,5,0),"")</f>
        <v/>
      </c>
    </row>
    <row r="746" ht="15" customHeight="1" s="12">
      <c r="A746" s="16" t="n"/>
      <c r="B746" s="14" t="n"/>
      <c r="C746" s="14" t="n"/>
      <c r="D746" s="14" t="n"/>
      <c r="E746" s="17">
        <f>IFERROR(VLOOKUP(C746,Items!A:E,5,0),"")</f>
        <v/>
      </c>
    </row>
    <row r="747" ht="15" customHeight="1" s="12">
      <c r="A747" s="16" t="n"/>
      <c r="B747" s="14" t="n"/>
      <c r="C747" s="14" t="n"/>
      <c r="D747" s="14" t="n"/>
      <c r="E747" s="17">
        <f>IFERROR(VLOOKUP(C747,Items!A:E,5,0),"")</f>
        <v/>
      </c>
    </row>
    <row r="748" ht="15" customHeight="1" s="12">
      <c r="A748" s="16" t="n"/>
      <c r="B748" s="14" t="n"/>
      <c r="C748" s="14" t="n"/>
      <c r="D748" s="14" t="n"/>
      <c r="E748" s="17">
        <f>IFERROR(VLOOKUP(C748,Items!A:E,5,0),"")</f>
        <v/>
      </c>
    </row>
    <row r="749" ht="15" customHeight="1" s="12">
      <c r="A749" s="16" t="n"/>
      <c r="B749" s="14" t="n"/>
      <c r="C749" s="14" t="n"/>
      <c r="D749" s="14" t="n"/>
      <c r="E749" s="17">
        <f>IFERROR(VLOOKUP(C749,Items!A:E,5,0),"")</f>
        <v/>
      </c>
    </row>
    <row r="750" ht="15" customHeight="1" s="12">
      <c r="A750" s="16" t="n"/>
      <c r="B750" s="14" t="n"/>
      <c r="C750" s="14" t="n"/>
      <c r="D750" s="14" t="n"/>
      <c r="E750" s="17">
        <f>IFERROR(VLOOKUP(C750,Items!A:E,5,0),"")</f>
        <v/>
      </c>
    </row>
    <row r="751" ht="15" customHeight="1" s="12">
      <c r="A751" s="16" t="n"/>
      <c r="B751" s="14" t="n"/>
      <c r="C751" s="14" t="n"/>
      <c r="D751" s="14" t="n"/>
      <c r="E751" s="17">
        <f>IFERROR(VLOOKUP(C751,Items!A:E,5,0),"")</f>
        <v/>
      </c>
    </row>
    <row r="752" ht="15" customHeight="1" s="12">
      <c r="A752" s="16" t="n"/>
      <c r="B752" s="14" t="n"/>
      <c r="C752" s="14" t="n"/>
      <c r="D752" s="14" t="n"/>
      <c r="E752" s="17">
        <f>IFERROR(VLOOKUP(C752,Items!A:E,5,0),"")</f>
        <v/>
      </c>
    </row>
    <row r="753" ht="15" customHeight="1" s="12">
      <c r="A753" s="16" t="n"/>
      <c r="B753" s="14" t="n"/>
      <c r="C753" s="14" t="n"/>
      <c r="D753" s="14" t="n"/>
      <c r="E753" s="17">
        <f>IFERROR(VLOOKUP(C753,Items!A:E,5,0),"")</f>
        <v/>
      </c>
    </row>
    <row r="754" ht="15" customHeight="1" s="12">
      <c r="A754" s="16" t="n"/>
      <c r="B754" s="14" t="n"/>
      <c r="C754" s="14" t="n"/>
      <c r="D754" s="14" t="n"/>
      <c r="E754" s="17">
        <f>IFERROR(VLOOKUP(C754,Items!A:E,5,0),"")</f>
        <v/>
      </c>
    </row>
    <row r="755" ht="15" customHeight="1" s="12">
      <c r="A755" s="16" t="n"/>
      <c r="B755" s="14" t="n"/>
      <c r="C755" s="14" t="n"/>
      <c r="D755" s="14" t="n"/>
      <c r="E755" s="17">
        <f>IFERROR(VLOOKUP(C755,Items!A:E,5,0),"")</f>
        <v/>
      </c>
    </row>
    <row r="756" ht="15" customHeight="1" s="12">
      <c r="A756" s="16" t="n"/>
      <c r="B756" s="14" t="n"/>
      <c r="C756" s="14" t="n"/>
      <c r="D756" s="14" t="n"/>
      <c r="E756" s="17">
        <f>IFERROR(VLOOKUP(C756,Items!A:E,5,0),"")</f>
        <v/>
      </c>
    </row>
    <row r="757" ht="15" customHeight="1" s="12">
      <c r="A757" s="16" t="n"/>
      <c r="B757" s="14" t="n"/>
      <c r="C757" s="14" t="n"/>
      <c r="D757" s="14" t="n"/>
      <c r="E757" s="17">
        <f>IFERROR(VLOOKUP(C757,Items!A:E,5,0),"")</f>
        <v/>
      </c>
    </row>
    <row r="758" ht="15" customHeight="1" s="12">
      <c r="A758" s="16" t="n"/>
      <c r="B758" s="14" t="n"/>
      <c r="C758" s="14" t="n"/>
      <c r="D758" s="14" t="n"/>
      <c r="E758" s="17">
        <f>IFERROR(VLOOKUP(C758,Items!A:E,5,0),"")</f>
        <v/>
      </c>
    </row>
    <row r="759" ht="15" customHeight="1" s="12">
      <c r="A759" s="16" t="n"/>
      <c r="B759" s="14" t="n"/>
      <c r="C759" s="14" t="n"/>
      <c r="D759" s="14" t="n"/>
      <c r="E759" s="17">
        <f>IFERROR(VLOOKUP(C759,Items!A:E,5,0),"")</f>
        <v/>
      </c>
    </row>
    <row r="760" ht="15" customHeight="1" s="12">
      <c r="A760" s="16" t="n"/>
      <c r="B760" s="14" t="n"/>
      <c r="C760" s="14" t="n"/>
      <c r="D760" s="14" t="n"/>
      <c r="E760" s="17">
        <f>IFERROR(VLOOKUP(C760,Items!A:E,5,0),"")</f>
        <v/>
      </c>
    </row>
    <row r="761" ht="15" customHeight="1" s="12">
      <c r="A761" s="16" t="n"/>
      <c r="B761" s="14" t="n"/>
      <c r="C761" s="14" t="n"/>
      <c r="D761" s="14" t="n"/>
      <c r="E761" s="17">
        <f>IFERROR(VLOOKUP(C761,Items!A:E,5,0),"")</f>
        <v/>
      </c>
    </row>
    <row r="762" ht="15" customHeight="1" s="12">
      <c r="A762" s="16" t="n"/>
      <c r="B762" s="14" t="n"/>
      <c r="C762" s="14" t="n"/>
      <c r="D762" s="14" t="n"/>
      <c r="E762" s="17">
        <f>IFERROR(VLOOKUP(C762,Items!A:E,5,0),"")</f>
        <v/>
      </c>
    </row>
    <row r="763" ht="15" customHeight="1" s="12">
      <c r="A763" s="16" t="n"/>
      <c r="B763" s="14" t="n"/>
      <c r="C763" s="14" t="n"/>
      <c r="D763" s="14" t="n"/>
      <c r="E763" s="17">
        <f>IFERROR(VLOOKUP(C763,Items!A:E,5,0),"")</f>
        <v/>
      </c>
    </row>
    <row r="764" ht="15" customHeight="1" s="12">
      <c r="A764" s="16" t="n"/>
      <c r="B764" s="14" t="n"/>
      <c r="C764" s="14" t="n"/>
      <c r="D764" s="14" t="n"/>
      <c r="E764" s="17">
        <f>IFERROR(VLOOKUP(C764,Items!A:E,5,0),"")</f>
        <v/>
      </c>
    </row>
    <row r="765" ht="15" customHeight="1" s="12">
      <c r="A765" s="16" t="n"/>
      <c r="B765" s="14" t="n"/>
      <c r="C765" s="14" t="n"/>
      <c r="D765" s="14" t="n"/>
      <c r="E765" s="17">
        <f>IFERROR(VLOOKUP(C765,Items!A:E,5,0),"")</f>
        <v/>
      </c>
    </row>
    <row r="766" ht="15" customHeight="1" s="12">
      <c r="A766" s="16" t="n"/>
      <c r="B766" s="14" t="n"/>
      <c r="C766" s="14" t="n"/>
      <c r="D766" s="14" t="n"/>
      <c r="E766" s="17">
        <f>IFERROR(VLOOKUP(C766,Items!A:E,5,0),"")</f>
        <v/>
      </c>
    </row>
    <row r="767" ht="15" customHeight="1" s="12">
      <c r="A767" s="16" t="n"/>
      <c r="B767" s="14" t="n"/>
      <c r="C767" s="14" t="n"/>
      <c r="D767" s="14" t="n"/>
      <c r="E767" s="17">
        <f>IFERROR(VLOOKUP(C767,Items!A:E,5,0),"")</f>
        <v/>
      </c>
    </row>
    <row r="768" ht="15" customHeight="1" s="12">
      <c r="A768" s="16" t="n"/>
      <c r="B768" s="14" t="n"/>
      <c r="C768" s="14" t="n"/>
      <c r="D768" s="14" t="n"/>
      <c r="E768" s="17">
        <f>IFERROR(VLOOKUP(C768,Items!A:E,5,0),"")</f>
        <v/>
      </c>
    </row>
    <row r="769" ht="15" customHeight="1" s="12">
      <c r="A769" s="16" t="n"/>
      <c r="B769" s="14" t="n"/>
      <c r="C769" s="14" t="n"/>
      <c r="D769" s="14" t="n"/>
      <c r="E769" s="17">
        <f>IFERROR(VLOOKUP(C769,Items!A:E,5,0),"")</f>
        <v/>
      </c>
    </row>
    <row r="770" ht="15" customHeight="1" s="12">
      <c r="A770" s="16" t="n"/>
      <c r="B770" s="14" t="n"/>
      <c r="C770" s="14" t="n"/>
      <c r="D770" s="14" t="n"/>
      <c r="E770" s="17">
        <f>IFERROR(VLOOKUP(C770,Items!A:E,5,0),"")</f>
        <v/>
      </c>
    </row>
    <row r="771" ht="15" customHeight="1" s="12">
      <c r="A771" s="16" t="n"/>
      <c r="B771" s="14" t="n"/>
      <c r="C771" s="14" t="n"/>
      <c r="D771" s="14" t="n"/>
      <c r="E771" s="17">
        <f>IFERROR(VLOOKUP(C771,Items!A:E,5,0),"")</f>
        <v/>
      </c>
    </row>
    <row r="772" ht="15" customHeight="1" s="12">
      <c r="A772" s="16" t="n"/>
      <c r="B772" s="14" t="n"/>
      <c r="C772" s="14" t="n"/>
      <c r="D772" s="14" t="n"/>
      <c r="E772" s="17">
        <f>IFERROR(VLOOKUP(C772,Items!A:E,5,0),"")</f>
        <v/>
      </c>
    </row>
    <row r="773" ht="15" customHeight="1" s="12">
      <c r="A773" s="16" t="n"/>
      <c r="B773" s="14" t="n"/>
      <c r="C773" s="14" t="n"/>
      <c r="D773" s="14" t="n"/>
      <c r="E773" s="17">
        <f>IFERROR(VLOOKUP(C773,Items!A:E,5,0),"")</f>
        <v/>
      </c>
    </row>
    <row r="774" ht="15" customHeight="1" s="12">
      <c r="A774" s="16" t="n"/>
      <c r="B774" s="14" t="n"/>
      <c r="C774" s="14" t="n"/>
      <c r="D774" s="14" t="n"/>
      <c r="E774" s="17">
        <f>IFERROR(VLOOKUP(C774,Items!A:E,5,0),"")</f>
        <v/>
      </c>
    </row>
    <row r="775" ht="15" customHeight="1" s="12">
      <c r="A775" s="16" t="n"/>
      <c r="B775" s="14" t="n"/>
      <c r="C775" s="14" t="n"/>
      <c r="D775" s="14" t="n"/>
      <c r="E775" s="17">
        <f>IFERROR(VLOOKUP(C775,Items!A:E,5,0),"")</f>
        <v/>
      </c>
    </row>
    <row r="776" ht="15" customHeight="1" s="12">
      <c r="A776" s="16" t="n"/>
      <c r="B776" s="14" t="n"/>
      <c r="C776" s="14" t="n"/>
      <c r="D776" s="14" t="n"/>
      <c r="E776" s="17">
        <f>IFERROR(VLOOKUP(C776,Items!A:E,5,0),"")</f>
        <v/>
      </c>
    </row>
    <row r="777" ht="15" customHeight="1" s="12">
      <c r="A777" s="16" t="n"/>
      <c r="B777" s="14" t="n"/>
      <c r="C777" s="14" t="n"/>
      <c r="D777" s="14" t="n"/>
      <c r="E777" s="17">
        <f>IFERROR(VLOOKUP(C777,Items!A:E,5,0),"")</f>
        <v/>
      </c>
    </row>
    <row r="778" ht="15" customHeight="1" s="12">
      <c r="A778" s="16" t="n"/>
      <c r="B778" s="14" t="n"/>
      <c r="C778" s="14" t="n"/>
      <c r="D778" s="14" t="n"/>
      <c r="E778" s="17">
        <f>IFERROR(VLOOKUP(C778,Items!A:E,5,0),"")</f>
        <v/>
      </c>
    </row>
    <row r="779" ht="15" customHeight="1" s="12">
      <c r="A779" s="16" t="n"/>
      <c r="B779" s="14" t="n"/>
      <c r="C779" s="14" t="n"/>
      <c r="D779" s="14" t="n"/>
      <c r="E779" s="17">
        <f>IFERROR(VLOOKUP(C779,Items!A:E,5,0),"")</f>
        <v/>
      </c>
    </row>
    <row r="780" ht="15" customHeight="1" s="12">
      <c r="A780" s="16" t="n"/>
      <c r="B780" s="14" t="n"/>
      <c r="C780" s="14" t="n"/>
      <c r="D780" s="14" t="n"/>
      <c r="E780" s="17">
        <f>IFERROR(VLOOKUP(C780,Items!A:E,5,0),"")</f>
        <v/>
      </c>
    </row>
    <row r="781" ht="15" customHeight="1" s="12">
      <c r="A781" s="16" t="n"/>
      <c r="B781" s="14" t="n"/>
      <c r="C781" s="14" t="n"/>
      <c r="D781" s="14" t="n"/>
      <c r="E781" s="17">
        <f>IFERROR(VLOOKUP(C781,Items!A:E,5,0),"")</f>
        <v/>
      </c>
    </row>
    <row r="782" ht="15" customHeight="1" s="12">
      <c r="A782" s="16" t="n"/>
      <c r="B782" s="14" t="n"/>
      <c r="C782" s="14" t="n"/>
      <c r="D782" s="14" t="n"/>
      <c r="E782" s="17">
        <f>IFERROR(VLOOKUP(C782,Items!A:E,5,0),"")</f>
        <v/>
      </c>
    </row>
    <row r="783" ht="15" customHeight="1" s="12">
      <c r="A783" s="16" t="n"/>
      <c r="B783" s="14" t="n"/>
      <c r="C783" s="14" t="n"/>
      <c r="D783" s="14" t="n"/>
      <c r="E783" s="17">
        <f>IFERROR(VLOOKUP(C783,Items!A:E,5,0),"")</f>
        <v/>
      </c>
    </row>
    <row r="784" ht="15" customHeight="1" s="12">
      <c r="A784" s="16" t="n"/>
      <c r="B784" s="14" t="n"/>
      <c r="C784" s="14" t="n"/>
      <c r="D784" s="14" t="n"/>
      <c r="E784" s="17">
        <f>IFERROR(VLOOKUP(C784,Items!A:E,5,0),"")</f>
        <v/>
      </c>
    </row>
    <row r="785" ht="15" customHeight="1" s="12">
      <c r="A785" s="16" t="n"/>
      <c r="B785" s="14" t="n"/>
      <c r="C785" s="14" t="n"/>
      <c r="D785" s="14" t="n"/>
      <c r="E785" s="17">
        <f>IFERROR(VLOOKUP(C785,Items!A:E,5,0),"")</f>
        <v/>
      </c>
    </row>
    <row r="786" ht="15" customHeight="1" s="12">
      <c r="A786" s="16" t="n"/>
      <c r="B786" s="14" t="n"/>
      <c r="C786" s="14" t="n"/>
      <c r="D786" s="14" t="n"/>
      <c r="E786" s="17">
        <f>IFERROR(VLOOKUP(C786,Items!A:E,5,0),"")</f>
        <v/>
      </c>
    </row>
    <row r="787" ht="15" customHeight="1" s="12">
      <c r="A787" s="16" t="n"/>
      <c r="B787" s="14" t="n"/>
      <c r="C787" s="14" t="n"/>
      <c r="D787" s="14" t="n"/>
      <c r="E787" s="17">
        <f>IFERROR(VLOOKUP(C787,Items!A:E,5,0),"")</f>
        <v/>
      </c>
    </row>
    <row r="788" ht="15" customHeight="1" s="12">
      <c r="A788" s="16" t="n"/>
      <c r="B788" s="14" t="n"/>
      <c r="C788" s="14" t="n"/>
      <c r="D788" s="14" t="n"/>
      <c r="E788" s="17">
        <f>IFERROR(VLOOKUP(C788,Items!A:E,5,0),"")</f>
        <v/>
      </c>
    </row>
    <row r="789" ht="15" customHeight="1" s="12">
      <c r="A789" s="16" t="n"/>
      <c r="B789" s="14" t="n"/>
      <c r="C789" s="14" t="n"/>
      <c r="D789" s="14" t="n"/>
      <c r="E789" s="17">
        <f>IFERROR(VLOOKUP(C789,Items!A:E,5,0),"")</f>
        <v/>
      </c>
    </row>
    <row r="790" ht="15" customHeight="1" s="12">
      <c r="A790" s="16" t="n"/>
      <c r="B790" s="14" t="n"/>
      <c r="C790" s="14" t="n"/>
      <c r="D790" s="14" t="n"/>
      <c r="E790" s="17">
        <f>IFERROR(VLOOKUP(C790,Items!A:E,5,0),"")</f>
        <v/>
      </c>
    </row>
    <row r="791" ht="15" customHeight="1" s="12">
      <c r="A791" s="16" t="n"/>
      <c r="B791" s="14" t="n"/>
      <c r="C791" s="14" t="n"/>
      <c r="D791" s="14" t="n"/>
      <c r="E791" s="17">
        <f>IFERROR(VLOOKUP(C791,Items!A:E,5,0),"")</f>
        <v/>
      </c>
    </row>
    <row r="792" ht="15" customHeight="1" s="12">
      <c r="A792" s="16" t="n"/>
      <c r="B792" s="14" t="n"/>
      <c r="C792" s="14" t="n"/>
      <c r="D792" s="14" t="n"/>
      <c r="E792" s="17">
        <f>IFERROR(VLOOKUP(C792,Items!A:E,5,0),"")</f>
        <v/>
      </c>
    </row>
    <row r="793" ht="15" customHeight="1" s="12">
      <c r="A793" s="16" t="n"/>
      <c r="B793" s="14" t="n"/>
      <c r="C793" s="14" t="n"/>
      <c r="D793" s="14" t="n"/>
      <c r="E793" s="17">
        <f>IFERROR(VLOOKUP(C793,Items!A:E,5,0),"")</f>
        <v/>
      </c>
    </row>
    <row r="794" ht="15" customHeight="1" s="12">
      <c r="A794" s="16" t="n"/>
      <c r="B794" s="14" t="n"/>
      <c r="C794" s="14" t="n"/>
      <c r="D794" s="14" t="n"/>
      <c r="E794" s="17">
        <f>IFERROR(VLOOKUP(C794,Items!A:E,5,0),"")</f>
        <v/>
      </c>
    </row>
    <row r="795" ht="15" customHeight="1" s="12">
      <c r="A795" s="16" t="n"/>
      <c r="B795" s="14" t="n"/>
      <c r="C795" s="14" t="n"/>
      <c r="D795" s="14" t="n"/>
      <c r="E795" s="17">
        <f>IFERROR(VLOOKUP(C795,Items!A:E,5,0),"")</f>
        <v/>
      </c>
    </row>
    <row r="796" ht="15" customHeight="1" s="12">
      <c r="A796" s="16" t="n"/>
      <c r="B796" s="14" t="n"/>
      <c r="C796" s="14" t="n"/>
      <c r="D796" s="14" t="n"/>
      <c r="E796" s="17">
        <f>IFERROR(VLOOKUP(C796,Items!A:E,5,0),"")</f>
        <v/>
      </c>
    </row>
    <row r="797" ht="15" customHeight="1" s="12">
      <c r="A797" s="16" t="n"/>
      <c r="B797" s="14" t="n"/>
      <c r="C797" s="14" t="n"/>
      <c r="D797" s="14" t="n"/>
      <c r="E797" s="17">
        <f>IFERROR(VLOOKUP(C797,Items!A:E,5,0),"")</f>
        <v/>
      </c>
    </row>
    <row r="798" ht="15" customHeight="1" s="12">
      <c r="A798" s="16" t="n"/>
      <c r="B798" s="14" t="n"/>
      <c r="C798" s="14" t="n"/>
      <c r="D798" s="14" t="n"/>
      <c r="E798" s="17">
        <f>IFERROR(VLOOKUP(C798,Items!A:E,5,0),"")</f>
        <v/>
      </c>
    </row>
    <row r="799" ht="15" customHeight="1" s="12">
      <c r="A799" s="16" t="n"/>
      <c r="B799" s="14" t="n"/>
      <c r="C799" s="14" t="n"/>
      <c r="D799" s="14" t="n"/>
      <c r="E799" s="17">
        <f>IFERROR(VLOOKUP(C799,Items!A:E,5,0),"")</f>
        <v/>
      </c>
    </row>
    <row r="800" ht="15" customHeight="1" s="12">
      <c r="A800" s="16" t="n"/>
      <c r="B800" s="14" t="n"/>
      <c r="C800" s="14" t="n"/>
      <c r="D800" s="14" t="n"/>
      <c r="E800" s="17">
        <f>IFERROR(VLOOKUP(C800,Items!A:E,5,0),"")</f>
        <v/>
      </c>
    </row>
    <row r="801" ht="15" customHeight="1" s="12">
      <c r="A801" s="16" t="n"/>
      <c r="B801" s="14" t="n"/>
      <c r="C801" s="14" t="n"/>
      <c r="D801" s="14" t="n"/>
      <c r="E801" s="17">
        <f>IFERROR(VLOOKUP(C801,Items!A:E,5,0),"")</f>
        <v/>
      </c>
    </row>
    <row r="802" ht="15" customHeight="1" s="12">
      <c r="A802" s="16" t="n"/>
      <c r="B802" s="14" t="n"/>
      <c r="C802" s="14" t="n"/>
      <c r="D802" s="14" t="n"/>
      <c r="E802" s="17">
        <f>IFERROR(VLOOKUP(C802,Items!A:E,5,0),"")</f>
        <v/>
      </c>
    </row>
    <row r="803" ht="15" customHeight="1" s="12">
      <c r="A803" s="16" t="n"/>
      <c r="B803" s="14" t="n"/>
      <c r="C803" s="14" t="n"/>
      <c r="D803" s="14" t="n"/>
      <c r="E803" s="17">
        <f>IFERROR(VLOOKUP(C803,Items!A:E,5,0),"")</f>
        <v/>
      </c>
    </row>
    <row r="804" ht="15" customHeight="1" s="12">
      <c r="A804" s="16" t="n"/>
      <c r="B804" s="14" t="n"/>
      <c r="C804" s="14" t="n"/>
      <c r="D804" s="14" t="n"/>
      <c r="E804" s="17">
        <f>IFERROR(VLOOKUP(C804,Items!A:E,5,0),"")</f>
        <v/>
      </c>
    </row>
    <row r="805" ht="15" customHeight="1" s="12">
      <c r="A805" s="16" t="n"/>
      <c r="B805" s="14" t="n"/>
      <c r="C805" s="14" t="n"/>
      <c r="D805" s="14" t="n"/>
      <c r="E805" s="17">
        <f>IFERROR(VLOOKUP(C805,Items!A:E,5,0),"")</f>
        <v/>
      </c>
    </row>
    <row r="806" ht="15" customHeight="1" s="12">
      <c r="A806" s="16" t="n"/>
      <c r="B806" s="14" t="n"/>
      <c r="C806" s="14" t="n"/>
      <c r="D806" s="14" t="n"/>
      <c r="E806" s="17">
        <f>IFERROR(VLOOKUP(C806,Items!A:E,5,0),"")</f>
        <v/>
      </c>
    </row>
    <row r="807" ht="15" customHeight="1" s="12">
      <c r="A807" s="16" t="n"/>
      <c r="B807" s="14" t="n"/>
      <c r="C807" s="14" t="n"/>
      <c r="D807" s="14" t="n"/>
      <c r="E807" s="17">
        <f>IFERROR(VLOOKUP(C807,Items!A:E,5,0),"")</f>
        <v/>
      </c>
    </row>
    <row r="808" ht="15" customHeight="1" s="12">
      <c r="A808" s="16" t="n"/>
      <c r="B808" s="14" t="n"/>
      <c r="C808" s="14" t="n"/>
      <c r="D808" s="14" t="n"/>
      <c r="E808" s="17">
        <f>IFERROR(VLOOKUP(C808,Items!A:E,5,0),"")</f>
        <v/>
      </c>
    </row>
    <row r="809" ht="15" customHeight="1" s="12">
      <c r="A809" s="16" t="n"/>
      <c r="B809" s="14" t="n"/>
      <c r="C809" s="14" t="n"/>
      <c r="D809" s="14" t="n"/>
      <c r="E809" s="17">
        <f>IFERROR(VLOOKUP(C809,Items!A:E,5,0),"")</f>
        <v/>
      </c>
    </row>
    <row r="810" ht="15" customHeight="1" s="12">
      <c r="A810" s="16" t="n"/>
      <c r="B810" s="14" t="n"/>
      <c r="C810" s="14" t="n"/>
      <c r="D810" s="14" t="n"/>
      <c r="E810" s="17">
        <f>IFERROR(VLOOKUP(C810,Items!A:E,5,0),"")</f>
        <v/>
      </c>
    </row>
    <row r="811" ht="15" customHeight="1" s="12">
      <c r="A811" s="16" t="n"/>
      <c r="B811" s="14" t="n"/>
      <c r="C811" s="14" t="n"/>
      <c r="D811" s="14" t="n"/>
      <c r="E811" s="17">
        <f>IFERROR(VLOOKUP(C811,Items!A:E,5,0),"")</f>
        <v/>
      </c>
    </row>
    <row r="812" ht="15" customHeight="1" s="12">
      <c r="A812" s="16" t="n"/>
      <c r="B812" s="14" t="n"/>
      <c r="C812" s="14" t="n"/>
      <c r="D812" s="14" t="n"/>
      <c r="E812" s="17">
        <f>IFERROR(VLOOKUP(C812,Items!A:E,5,0),"")</f>
        <v/>
      </c>
    </row>
    <row r="813" ht="15" customHeight="1" s="12">
      <c r="A813" s="16" t="n"/>
      <c r="B813" s="14" t="n"/>
      <c r="C813" s="14" t="n"/>
      <c r="D813" s="14" t="n"/>
      <c r="E813" s="17">
        <f>IFERROR(VLOOKUP(C813,Items!A:E,5,0),"")</f>
        <v/>
      </c>
    </row>
    <row r="814" ht="15" customHeight="1" s="12">
      <c r="A814" s="16" t="n"/>
      <c r="B814" s="14" t="n"/>
      <c r="C814" s="14" t="n"/>
      <c r="D814" s="14" t="n"/>
      <c r="E814" s="17">
        <f>IFERROR(VLOOKUP(C814,Items!A:E,5,0),"")</f>
        <v/>
      </c>
    </row>
    <row r="815" ht="15" customHeight="1" s="12">
      <c r="A815" s="16" t="n"/>
      <c r="B815" s="14" t="n"/>
      <c r="C815" s="14" t="n"/>
      <c r="D815" s="14" t="n"/>
      <c r="E815" s="17">
        <f>IFERROR(VLOOKUP(C815,Items!A:E,5,0),"")</f>
        <v/>
      </c>
    </row>
    <row r="816" ht="15" customHeight="1" s="12">
      <c r="A816" s="16" t="n"/>
      <c r="B816" s="14" t="n"/>
      <c r="C816" s="14" t="n"/>
      <c r="D816" s="14" t="n"/>
      <c r="E816" s="17">
        <f>IFERROR(VLOOKUP(C816,Items!A:E,5,0),"")</f>
        <v/>
      </c>
    </row>
    <row r="817" ht="15" customHeight="1" s="12">
      <c r="A817" s="16" t="n"/>
      <c r="B817" s="14" t="n"/>
      <c r="C817" s="14" t="n"/>
      <c r="D817" s="14" t="n"/>
      <c r="E817" s="17">
        <f>IFERROR(VLOOKUP(C817,Items!A:E,5,0),"")</f>
        <v/>
      </c>
    </row>
    <row r="818" ht="15" customHeight="1" s="12">
      <c r="A818" s="16" t="n"/>
      <c r="B818" s="14" t="n"/>
      <c r="C818" s="14" t="n"/>
      <c r="D818" s="14" t="n"/>
      <c r="E818" s="17">
        <f>IFERROR(VLOOKUP(C818,Items!A:E,5,0),"")</f>
        <v/>
      </c>
    </row>
    <row r="819" ht="15" customHeight="1" s="12">
      <c r="A819" s="16" t="n"/>
      <c r="B819" s="14" t="n"/>
      <c r="C819" s="14" t="n"/>
      <c r="D819" s="14" t="n"/>
      <c r="E819" s="17">
        <f>IFERROR(VLOOKUP(C819,Items!A:E,5,0),"")</f>
        <v/>
      </c>
    </row>
    <row r="820" ht="15" customHeight="1" s="12">
      <c r="A820" s="16" t="n"/>
      <c r="B820" s="14" t="n"/>
      <c r="C820" s="14" t="n"/>
      <c r="D820" s="14" t="n"/>
      <c r="E820" s="17">
        <f>IFERROR(VLOOKUP(C820,Items!A:E,5,0),"")</f>
        <v/>
      </c>
    </row>
    <row r="821" ht="15" customHeight="1" s="12">
      <c r="A821" s="16" t="n"/>
      <c r="B821" s="14" t="n"/>
      <c r="C821" s="14" t="n"/>
      <c r="D821" s="14" t="n"/>
      <c r="E821" s="17">
        <f>IFERROR(VLOOKUP(C821,Items!A:E,5,0),"")</f>
        <v/>
      </c>
    </row>
    <row r="822" ht="15" customHeight="1" s="12">
      <c r="A822" s="16" t="n"/>
      <c r="B822" s="14" t="n"/>
      <c r="C822" s="14" t="n"/>
      <c r="D822" s="14" t="n"/>
      <c r="E822" s="17">
        <f>IFERROR(VLOOKUP(C822,Items!A:E,5,0),"")</f>
        <v/>
      </c>
    </row>
    <row r="823" ht="15" customHeight="1" s="12">
      <c r="A823" s="16" t="n"/>
      <c r="B823" s="14" t="n"/>
      <c r="C823" s="14" t="n"/>
      <c r="D823" s="14" t="n"/>
      <c r="E823" s="17">
        <f>IFERROR(VLOOKUP(C823,Items!A:E,5,0),"")</f>
        <v/>
      </c>
    </row>
    <row r="824" ht="15" customHeight="1" s="12">
      <c r="A824" s="16" t="n"/>
      <c r="B824" s="14" t="n"/>
      <c r="C824" s="14" t="n"/>
      <c r="D824" s="14" t="n"/>
      <c r="E824" s="17">
        <f>IFERROR(VLOOKUP(C824,Items!A:E,5,0),"")</f>
        <v/>
      </c>
    </row>
    <row r="825" ht="15" customHeight="1" s="12">
      <c r="A825" s="16" t="n"/>
      <c r="B825" s="14" t="n"/>
      <c r="C825" s="14" t="n"/>
      <c r="D825" s="14" t="n"/>
      <c r="E825" s="17">
        <f>IFERROR(VLOOKUP(C825,Items!A:E,5,0),"")</f>
        <v/>
      </c>
    </row>
    <row r="826" ht="15" customHeight="1" s="12">
      <c r="A826" s="16" t="n"/>
      <c r="B826" s="14" t="n"/>
      <c r="C826" s="14" t="n"/>
      <c r="D826" s="14" t="n"/>
      <c r="E826" s="17">
        <f>IFERROR(VLOOKUP(C826,Items!A:E,5,0),"")</f>
        <v/>
      </c>
    </row>
    <row r="827" ht="15" customHeight="1" s="12">
      <c r="A827" s="16" t="n"/>
      <c r="B827" s="14" t="n"/>
      <c r="C827" s="14" t="n"/>
      <c r="D827" s="14" t="n"/>
      <c r="E827" s="17">
        <f>IFERROR(VLOOKUP(C827,Items!A:E,5,0),"")</f>
        <v/>
      </c>
    </row>
    <row r="828" ht="15" customHeight="1" s="12">
      <c r="A828" s="16" t="n"/>
      <c r="B828" s="14" t="n"/>
      <c r="C828" s="14" t="n"/>
      <c r="D828" s="14" t="n"/>
      <c r="E828" s="17">
        <f>IFERROR(VLOOKUP(C828,Items!A:E,5,0),"")</f>
        <v/>
      </c>
    </row>
    <row r="829" ht="15" customHeight="1" s="12">
      <c r="A829" s="16" t="n"/>
      <c r="B829" s="14" t="n"/>
      <c r="C829" s="14" t="n"/>
      <c r="D829" s="14" t="n"/>
      <c r="E829" s="17">
        <f>IFERROR(VLOOKUP(C829,Items!A:E,5,0),"")</f>
        <v/>
      </c>
    </row>
    <row r="830" ht="15" customHeight="1" s="12">
      <c r="A830" s="16" t="n"/>
      <c r="B830" s="14" t="n"/>
      <c r="C830" s="14" t="n"/>
      <c r="D830" s="14" t="n"/>
      <c r="E830" s="17">
        <f>IFERROR(VLOOKUP(C830,Items!A:E,5,0),"")</f>
        <v/>
      </c>
    </row>
    <row r="831" ht="15" customHeight="1" s="12">
      <c r="A831" s="16" t="n"/>
      <c r="B831" s="14" t="n"/>
      <c r="C831" s="14" t="n"/>
      <c r="D831" s="14" t="n"/>
      <c r="E831" s="17">
        <f>IFERROR(VLOOKUP(C831,Items!A:E,5,0),"")</f>
        <v/>
      </c>
    </row>
    <row r="832" ht="15" customHeight="1" s="12">
      <c r="A832" s="16" t="n"/>
      <c r="B832" s="14" t="n"/>
      <c r="C832" s="14" t="n"/>
      <c r="D832" s="14" t="n"/>
      <c r="E832" s="17">
        <f>IFERROR(VLOOKUP(C832,Items!A:E,5,0),"")</f>
        <v/>
      </c>
    </row>
    <row r="833" ht="15" customHeight="1" s="12">
      <c r="A833" s="16" t="n"/>
      <c r="B833" s="14" t="n"/>
      <c r="C833" s="14" t="n"/>
      <c r="D833" s="14" t="n"/>
      <c r="E833" s="17">
        <f>IFERROR(VLOOKUP(C833,Items!A:E,5,0),"")</f>
        <v/>
      </c>
    </row>
    <row r="834" ht="15" customHeight="1" s="12">
      <c r="A834" s="16" t="n"/>
      <c r="B834" s="14" t="n"/>
      <c r="C834" s="14" t="n"/>
      <c r="D834" s="14" t="n"/>
      <c r="E834" s="17">
        <f>IFERROR(VLOOKUP(C834,Items!A:E,5,0),"")</f>
        <v/>
      </c>
    </row>
    <row r="835" ht="15" customHeight="1" s="12">
      <c r="A835" s="16" t="n"/>
      <c r="B835" s="14" t="n"/>
      <c r="C835" s="14" t="n"/>
      <c r="D835" s="14" t="n"/>
      <c r="E835" s="17">
        <f>IFERROR(VLOOKUP(C835,Items!A:E,5,0),"")</f>
        <v/>
      </c>
    </row>
    <row r="836" ht="15" customHeight="1" s="12">
      <c r="A836" s="16" t="n"/>
      <c r="B836" s="14" t="n"/>
      <c r="C836" s="14" t="n"/>
      <c r="D836" s="14" t="n"/>
      <c r="E836" s="17">
        <f>IFERROR(VLOOKUP(C836,Items!A:E,5,0),"")</f>
        <v/>
      </c>
    </row>
    <row r="837" ht="15" customHeight="1" s="12">
      <c r="A837" s="16" t="n"/>
      <c r="B837" s="14" t="n"/>
      <c r="C837" s="14" t="n"/>
      <c r="D837" s="14" t="n"/>
      <c r="E837" s="17">
        <f>IFERROR(VLOOKUP(C837,Items!A:E,5,0),"")</f>
        <v/>
      </c>
    </row>
    <row r="838" ht="15" customHeight="1" s="12">
      <c r="A838" s="16" t="n"/>
      <c r="B838" s="14" t="n"/>
      <c r="C838" s="14" t="n"/>
      <c r="D838" s="14" t="n"/>
      <c r="E838" s="17">
        <f>IFERROR(VLOOKUP(C838,Items!A:E,5,0),"")</f>
        <v/>
      </c>
    </row>
    <row r="839" ht="15" customHeight="1" s="12">
      <c r="A839" s="16" t="n"/>
      <c r="B839" s="14" t="n"/>
      <c r="C839" s="14" t="n"/>
      <c r="D839" s="14" t="n"/>
      <c r="E839" s="17">
        <f>IFERROR(VLOOKUP(C839,Items!A:E,5,0),"")</f>
        <v/>
      </c>
    </row>
    <row r="840" ht="15" customHeight="1" s="12">
      <c r="A840" s="16" t="n"/>
      <c r="B840" s="14" t="n"/>
      <c r="C840" s="14" t="n"/>
      <c r="D840" s="14" t="n"/>
      <c r="E840" s="17">
        <f>IFERROR(VLOOKUP(C840,Items!A:E,5,0),"")</f>
        <v/>
      </c>
    </row>
    <row r="841" ht="15" customHeight="1" s="12">
      <c r="A841" s="16" t="n"/>
      <c r="B841" s="14" t="n"/>
      <c r="C841" s="14" t="n"/>
      <c r="D841" s="14" t="n"/>
      <c r="E841" s="17">
        <f>IFERROR(VLOOKUP(C841,Items!A:E,5,0),"")</f>
        <v/>
      </c>
    </row>
    <row r="842" ht="15" customHeight="1" s="12">
      <c r="A842" s="16" t="n"/>
      <c r="B842" s="14" t="n"/>
      <c r="C842" s="14" t="n"/>
      <c r="D842" s="14" t="n"/>
      <c r="E842" s="17">
        <f>IFERROR(VLOOKUP(C842,Items!A:E,5,0),"")</f>
        <v/>
      </c>
    </row>
    <row r="843" ht="15" customHeight="1" s="12">
      <c r="A843" s="16" t="n"/>
      <c r="B843" s="14" t="n"/>
      <c r="C843" s="14" t="n"/>
      <c r="D843" s="14" t="n"/>
      <c r="E843" s="17">
        <f>IFERROR(VLOOKUP(C843,Items!A:E,5,0),"")</f>
        <v/>
      </c>
    </row>
    <row r="844" ht="15" customHeight="1" s="12">
      <c r="A844" s="16" t="n"/>
      <c r="B844" s="14" t="n"/>
      <c r="C844" s="14" t="n"/>
      <c r="D844" s="14" t="n"/>
      <c r="E844" s="17">
        <f>IFERROR(VLOOKUP(C844,Items!A:E,5,0),"")</f>
        <v/>
      </c>
    </row>
    <row r="845" ht="15" customHeight="1" s="12">
      <c r="A845" s="16" t="n"/>
      <c r="B845" s="14" t="n"/>
      <c r="C845" s="14" t="n"/>
      <c r="D845" s="14" t="n"/>
      <c r="E845" s="17">
        <f>IFERROR(VLOOKUP(C845,Items!A:E,5,0),"")</f>
        <v/>
      </c>
    </row>
    <row r="846" ht="15" customHeight="1" s="12">
      <c r="A846" s="16" t="n"/>
      <c r="B846" s="14" t="n"/>
      <c r="C846" s="14" t="n"/>
      <c r="D846" s="14" t="n"/>
      <c r="E846" s="17">
        <f>IFERROR(VLOOKUP(C846,Items!A:E,5,0),"")</f>
        <v/>
      </c>
    </row>
    <row r="847" ht="15" customHeight="1" s="12">
      <c r="A847" s="16" t="n"/>
      <c r="B847" s="14" t="n"/>
      <c r="C847" s="14" t="n"/>
      <c r="D847" s="14" t="n"/>
      <c r="E847" s="17">
        <f>IFERROR(VLOOKUP(C847,Items!A:E,5,0),"")</f>
        <v/>
      </c>
    </row>
    <row r="848" ht="15" customHeight="1" s="12">
      <c r="A848" s="16" t="n"/>
      <c r="B848" s="14" t="n"/>
      <c r="C848" s="14" t="n"/>
      <c r="D848" s="14" t="n"/>
      <c r="E848" s="17">
        <f>IFERROR(VLOOKUP(C848,Items!A:E,5,0),"")</f>
        <v/>
      </c>
    </row>
    <row r="849" ht="15" customHeight="1" s="12">
      <c r="A849" s="16" t="n"/>
      <c r="B849" s="14" t="n"/>
      <c r="C849" s="14" t="n"/>
      <c r="D849" s="14" t="n"/>
      <c r="E849" s="17">
        <f>IFERROR(VLOOKUP(C849,Items!A:E,5,0),"")</f>
        <v/>
      </c>
    </row>
    <row r="850" ht="15" customHeight="1" s="12">
      <c r="A850" s="16" t="n"/>
      <c r="B850" s="14" t="n"/>
      <c r="C850" s="14" t="n"/>
      <c r="D850" s="14" t="n"/>
      <c r="E850" s="17">
        <f>IFERROR(VLOOKUP(C850,Items!A:E,5,0),"")</f>
        <v/>
      </c>
    </row>
    <row r="851" ht="15" customHeight="1" s="12">
      <c r="A851" s="16" t="n"/>
      <c r="B851" s="14" t="n"/>
      <c r="C851" s="14" t="n"/>
      <c r="D851" s="14" t="n"/>
      <c r="E851" s="17">
        <f>IFERROR(VLOOKUP(C851,Items!A:E,5,0),"")</f>
        <v/>
      </c>
    </row>
    <row r="852" ht="15" customHeight="1" s="12">
      <c r="A852" s="16" t="n"/>
      <c r="B852" s="14" t="n"/>
      <c r="C852" s="14" t="n"/>
      <c r="D852" s="14" t="n"/>
      <c r="E852" s="17">
        <f>IFERROR(VLOOKUP(C852,Items!A:E,5,0),"")</f>
        <v/>
      </c>
    </row>
    <row r="853" ht="15" customHeight="1" s="12">
      <c r="A853" s="16" t="n"/>
      <c r="B853" s="14" t="n"/>
      <c r="C853" s="14" t="n"/>
      <c r="D853" s="14" t="n"/>
      <c r="E853" s="17">
        <f>IFERROR(VLOOKUP(C853,Items!A:E,5,0),"")</f>
        <v/>
      </c>
    </row>
    <row r="854" ht="15" customHeight="1" s="12">
      <c r="A854" s="16" t="n"/>
      <c r="B854" s="14" t="n"/>
      <c r="C854" s="14" t="n"/>
      <c r="D854" s="14" t="n"/>
      <c r="E854" s="17">
        <f>IFERROR(VLOOKUP(C854,Items!A:E,5,0),"")</f>
        <v/>
      </c>
    </row>
    <row r="855" ht="15" customHeight="1" s="12">
      <c r="A855" s="16" t="n"/>
      <c r="B855" s="14" t="n"/>
      <c r="C855" s="14" t="n"/>
      <c r="D855" s="14" t="n"/>
      <c r="E855" s="17">
        <f>IFERROR(VLOOKUP(C855,Items!A:E,5,0),"")</f>
        <v/>
      </c>
    </row>
    <row r="856" ht="15" customHeight="1" s="12">
      <c r="A856" s="16" t="n"/>
      <c r="B856" s="14" t="n"/>
      <c r="C856" s="14" t="n"/>
      <c r="D856" s="14" t="n"/>
      <c r="E856" s="17">
        <f>IFERROR(VLOOKUP(C856,Items!A:E,5,0),"")</f>
        <v/>
      </c>
    </row>
    <row r="857" ht="15" customHeight="1" s="12">
      <c r="A857" s="16" t="n"/>
      <c r="B857" s="14" t="n"/>
      <c r="C857" s="14" t="n"/>
      <c r="D857" s="14" t="n"/>
      <c r="E857" s="17">
        <f>IFERROR(VLOOKUP(C857,Items!A:E,5,0),"")</f>
        <v/>
      </c>
    </row>
    <row r="858" ht="15" customHeight="1" s="12">
      <c r="A858" s="16" t="n"/>
      <c r="B858" s="14" t="n"/>
      <c r="C858" s="14" t="n"/>
      <c r="D858" s="14" t="n"/>
      <c r="E858" s="17">
        <f>IFERROR(VLOOKUP(C858,Items!A:E,5,0),"")</f>
        <v/>
      </c>
    </row>
    <row r="859" ht="15" customHeight="1" s="12">
      <c r="A859" s="16" t="n"/>
      <c r="B859" s="14" t="n"/>
      <c r="C859" s="14" t="n"/>
      <c r="D859" s="14" t="n"/>
      <c r="E859" s="17">
        <f>IFERROR(VLOOKUP(C859,Items!A:E,5,0),"")</f>
        <v/>
      </c>
    </row>
    <row r="860" ht="15" customHeight="1" s="12">
      <c r="A860" s="16" t="n"/>
      <c r="B860" s="14" t="n"/>
      <c r="C860" s="14" t="n"/>
      <c r="D860" s="14" t="n"/>
      <c r="E860" s="17">
        <f>IFERROR(VLOOKUP(C860,Items!A:E,5,0),"")</f>
        <v/>
      </c>
    </row>
    <row r="861" ht="15" customHeight="1" s="12">
      <c r="A861" s="16" t="n"/>
      <c r="B861" s="14" t="n"/>
      <c r="C861" s="14" t="n"/>
      <c r="D861" s="14" t="n"/>
      <c r="E861" s="17">
        <f>IFERROR(VLOOKUP(C861,Items!A:E,5,0),"")</f>
        <v/>
      </c>
    </row>
    <row r="862" ht="15" customHeight="1" s="12">
      <c r="A862" s="16" t="n"/>
      <c r="B862" s="14" t="n"/>
      <c r="C862" s="14" t="n"/>
      <c r="D862" s="14" t="n"/>
      <c r="E862" s="17">
        <f>IFERROR(VLOOKUP(C862,Items!A:E,5,0),"")</f>
        <v/>
      </c>
    </row>
    <row r="863" ht="15" customHeight="1" s="12">
      <c r="A863" s="16" t="n"/>
      <c r="B863" s="14" t="n"/>
      <c r="C863" s="14" t="n"/>
      <c r="D863" s="14" t="n"/>
      <c r="E863" s="17">
        <f>IFERROR(VLOOKUP(C863,Items!A:E,5,0),"")</f>
        <v/>
      </c>
    </row>
    <row r="864" ht="15" customHeight="1" s="12">
      <c r="A864" s="16" t="n"/>
      <c r="B864" s="14" t="n"/>
      <c r="C864" s="14" t="n"/>
      <c r="D864" s="14" t="n"/>
      <c r="E864" s="17">
        <f>IFERROR(VLOOKUP(C864,Items!A:E,5,0),"")</f>
        <v/>
      </c>
    </row>
    <row r="865" ht="15" customHeight="1" s="12">
      <c r="A865" s="16" t="n"/>
      <c r="B865" s="14" t="n"/>
      <c r="C865" s="14" t="n"/>
      <c r="D865" s="14" t="n"/>
      <c r="E865" s="17">
        <f>IFERROR(VLOOKUP(C865,Items!A:E,5,0),"")</f>
        <v/>
      </c>
    </row>
    <row r="866" ht="15" customHeight="1" s="12">
      <c r="A866" s="16" t="n"/>
      <c r="B866" s="14" t="n"/>
      <c r="C866" s="14" t="n"/>
      <c r="D866" s="14" t="n"/>
      <c r="E866" s="17">
        <f>IFERROR(VLOOKUP(C866,Items!A:E,5,0),"")</f>
        <v/>
      </c>
    </row>
    <row r="867" ht="15" customHeight="1" s="12">
      <c r="A867" s="16" t="n"/>
      <c r="B867" s="14" t="n"/>
      <c r="C867" s="14" t="n"/>
      <c r="D867" s="14" t="n"/>
      <c r="E867" s="17">
        <f>IFERROR(VLOOKUP(C867,Items!A:E,5,0),"")</f>
        <v/>
      </c>
    </row>
    <row r="868" ht="15" customHeight="1" s="12">
      <c r="A868" s="16" t="n"/>
      <c r="B868" s="14" t="n"/>
      <c r="C868" s="14" t="n"/>
      <c r="D868" s="14" t="n"/>
      <c r="E868" s="17">
        <f>IFERROR(VLOOKUP(C868,Items!A:E,5,0),"")</f>
        <v/>
      </c>
    </row>
    <row r="869" ht="15" customHeight="1" s="12">
      <c r="A869" s="16" t="n"/>
      <c r="B869" s="14" t="n"/>
      <c r="C869" s="14" t="n"/>
      <c r="D869" s="14" t="n"/>
      <c r="E869" s="17">
        <f>IFERROR(VLOOKUP(C869,Items!A:E,5,0),"")</f>
        <v/>
      </c>
    </row>
    <row r="870" ht="15" customHeight="1" s="12">
      <c r="A870" s="16" t="n"/>
      <c r="B870" s="14" t="n"/>
      <c r="C870" s="14" t="n"/>
      <c r="D870" s="14" t="n"/>
      <c r="E870" s="17">
        <f>IFERROR(VLOOKUP(C870,Items!A:E,5,0),"")</f>
        <v/>
      </c>
    </row>
    <row r="871" ht="15" customHeight="1" s="12">
      <c r="A871" s="16" t="n"/>
      <c r="B871" s="14" t="n"/>
      <c r="C871" s="14" t="n"/>
      <c r="D871" s="14" t="n"/>
      <c r="E871" s="17">
        <f>IFERROR(VLOOKUP(C871,Items!A:E,5,0),"")</f>
        <v/>
      </c>
    </row>
    <row r="872" ht="15" customHeight="1" s="12">
      <c r="A872" s="16" t="n"/>
      <c r="B872" s="14" t="n"/>
      <c r="C872" s="14" t="n"/>
      <c r="D872" s="14" t="n"/>
      <c r="E872" s="17">
        <f>IFERROR(VLOOKUP(C872,Items!A:E,5,0),"")</f>
        <v/>
      </c>
    </row>
    <row r="873" ht="15" customHeight="1" s="12">
      <c r="A873" s="16" t="n"/>
      <c r="B873" s="14" t="n"/>
      <c r="C873" s="14" t="n"/>
      <c r="D873" s="14" t="n"/>
      <c r="E873" s="17">
        <f>IFERROR(VLOOKUP(C873,Items!A:E,5,0),"")</f>
        <v/>
      </c>
    </row>
    <row r="874" ht="15" customHeight="1" s="12">
      <c r="A874" s="16" t="n"/>
      <c r="B874" s="14" t="n"/>
      <c r="C874" s="14" t="n"/>
      <c r="D874" s="14" t="n"/>
      <c r="E874" s="17">
        <f>IFERROR(VLOOKUP(C874,Items!A:E,5,0),"")</f>
        <v/>
      </c>
    </row>
    <row r="875" ht="15" customHeight="1" s="12">
      <c r="A875" s="16" t="n"/>
      <c r="B875" s="14" t="n"/>
      <c r="C875" s="14" t="n"/>
      <c r="D875" s="14" t="n"/>
      <c r="E875" s="17">
        <f>IFERROR(VLOOKUP(C875,Items!A:E,5,0),"")</f>
        <v/>
      </c>
    </row>
    <row r="876" ht="15" customHeight="1" s="12">
      <c r="A876" s="16" t="n"/>
      <c r="B876" s="14" t="n"/>
      <c r="C876" s="14" t="n"/>
      <c r="D876" s="14" t="n"/>
      <c r="E876" s="17">
        <f>IFERROR(VLOOKUP(C876,Items!A:E,5,0),"")</f>
        <v/>
      </c>
    </row>
    <row r="877" ht="15" customHeight="1" s="12">
      <c r="A877" s="16" t="n"/>
      <c r="B877" s="14" t="n"/>
      <c r="C877" s="14" t="n"/>
      <c r="D877" s="14" t="n"/>
      <c r="E877" s="17">
        <f>IFERROR(VLOOKUP(C877,Items!A:E,5,0),"")</f>
        <v/>
      </c>
    </row>
    <row r="878" ht="15" customHeight="1" s="12">
      <c r="A878" s="16" t="n"/>
      <c r="B878" s="14" t="n"/>
      <c r="C878" s="14" t="n"/>
      <c r="D878" s="14" t="n"/>
      <c r="E878" s="17">
        <f>IFERROR(VLOOKUP(C878,Items!A:E,5,0),"")</f>
        <v/>
      </c>
    </row>
    <row r="879" ht="15" customHeight="1" s="12">
      <c r="A879" s="16" t="n"/>
      <c r="B879" s="14" t="n"/>
      <c r="C879" s="14" t="n"/>
      <c r="D879" s="14" t="n"/>
      <c r="E879" s="17">
        <f>IFERROR(VLOOKUP(C879,Items!A:E,5,0),"")</f>
        <v/>
      </c>
    </row>
    <row r="880" ht="15" customHeight="1" s="12">
      <c r="A880" s="16" t="n"/>
      <c r="B880" s="14" t="n"/>
      <c r="C880" s="14" t="n"/>
      <c r="D880" s="14" t="n"/>
      <c r="E880" s="17">
        <f>IFERROR(VLOOKUP(C880,Items!A:E,5,0),"")</f>
        <v/>
      </c>
    </row>
    <row r="881" ht="15" customHeight="1" s="12">
      <c r="A881" s="16" t="n"/>
      <c r="B881" s="14" t="n"/>
      <c r="C881" s="14" t="n"/>
      <c r="D881" s="14" t="n"/>
      <c r="E881" s="17">
        <f>IFERROR(VLOOKUP(C881,Items!A:E,5,0),"")</f>
        <v/>
      </c>
    </row>
    <row r="882" ht="15" customHeight="1" s="12">
      <c r="A882" s="16" t="n"/>
      <c r="B882" s="14" t="n"/>
      <c r="C882" s="14" t="n"/>
      <c r="D882" s="14" t="n"/>
      <c r="E882" s="17">
        <f>IFERROR(VLOOKUP(C882,Items!A:E,5,0),"")</f>
        <v/>
      </c>
    </row>
    <row r="883" ht="15" customHeight="1" s="12">
      <c r="A883" s="16" t="n"/>
      <c r="B883" s="14" t="n"/>
      <c r="C883" s="14" t="n"/>
      <c r="D883" s="14" t="n"/>
      <c r="E883" s="17">
        <f>IFERROR(VLOOKUP(C883,Items!A:E,5,0),"")</f>
        <v/>
      </c>
    </row>
    <row r="884" ht="15" customHeight="1" s="12">
      <c r="A884" s="16" t="n"/>
      <c r="B884" s="14" t="n"/>
      <c r="C884" s="14" t="n"/>
      <c r="D884" s="14" t="n"/>
      <c r="E884" s="17">
        <f>IFERROR(VLOOKUP(C884,Items!A:E,5,0),"")</f>
        <v/>
      </c>
    </row>
    <row r="885" ht="15" customHeight="1" s="12">
      <c r="A885" s="16" t="n"/>
      <c r="B885" s="14" t="n"/>
      <c r="C885" s="14" t="n"/>
      <c r="D885" s="14" t="n"/>
      <c r="E885" s="17">
        <f>IFERROR(VLOOKUP(C885,Items!A:E,5,0),"")</f>
        <v/>
      </c>
    </row>
    <row r="886" ht="15" customHeight="1" s="12">
      <c r="A886" s="16" t="n"/>
      <c r="B886" s="14" t="n"/>
      <c r="C886" s="14" t="n"/>
      <c r="D886" s="14" t="n"/>
      <c r="E886" s="17">
        <f>IFERROR(VLOOKUP(C886,Items!A:E,5,0),"")</f>
        <v/>
      </c>
    </row>
    <row r="887" ht="15" customHeight="1" s="12">
      <c r="A887" s="16" t="n"/>
      <c r="B887" s="14" t="n"/>
      <c r="C887" s="14" t="n"/>
      <c r="D887" s="14" t="n"/>
      <c r="E887" s="17">
        <f>IFERROR(VLOOKUP(C887,Items!A:E,5,0),"")</f>
        <v/>
      </c>
    </row>
    <row r="888" ht="15" customHeight="1" s="12">
      <c r="A888" s="16" t="n"/>
      <c r="B888" s="14" t="n"/>
      <c r="C888" s="14" t="n"/>
      <c r="D888" s="14" t="n"/>
      <c r="E888" s="17">
        <f>IFERROR(VLOOKUP(C888,Items!A:E,5,0),"")</f>
        <v/>
      </c>
    </row>
    <row r="889" ht="15" customHeight="1" s="12">
      <c r="A889" s="16" t="n"/>
      <c r="B889" s="14" t="n"/>
      <c r="C889" s="14" t="n"/>
      <c r="D889" s="14" t="n"/>
      <c r="E889" s="17">
        <f>IFERROR(VLOOKUP(C889,Items!A:E,5,0),"")</f>
        <v/>
      </c>
    </row>
    <row r="890" ht="15" customHeight="1" s="12">
      <c r="A890" s="16" t="n"/>
      <c r="B890" s="14" t="n"/>
      <c r="C890" s="14" t="n"/>
      <c r="D890" s="14" t="n"/>
      <c r="E890" s="17">
        <f>IFERROR(VLOOKUP(C890,Items!A:E,5,0),"")</f>
        <v/>
      </c>
    </row>
    <row r="891" ht="15" customHeight="1" s="12">
      <c r="A891" s="16" t="n"/>
      <c r="B891" s="14" t="n"/>
      <c r="C891" s="14" t="n"/>
      <c r="D891" s="14" t="n"/>
      <c r="E891" s="17">
        <f>IFERROR(VLOOKUP(C891,Items!A:E,5,0),"")</f>
        <v/>
      </c>
    </row>
    <row r="892" ht="15" customHeight="1" s="12">
      <c r="A892" s="16" t="n"/>
      <c r="B892" s="14" t="n"/>
      <c r="C892" s="14" t="n"/>
      <c r="D892" s="14" t="n"/>
      <c r="E892" s="17">
        <f>IFERROR(VLOOKUP(C892,Items!A:E,5,0),"")</f>
        <v/>
      </c>
    </row>
    <row r="893" ht="15" customHeight="1" s="12">
      <c r="A893" s="16" t="n"/>
      <c r="B893" s="14" t="n"/>
      <c r="C893" s="14" t="n"/>
      <c r="D893" s="14" t="n"/>
      <c r="E893" s="17">
        <f>IFERROR(VLOOKUP(C893,Items!A:E,5,0),"")</f>
        <v/>
      </c>
    </row>
    <row r="894" ht="15" customHeight="1" s="12">
      <c r="A894" s="16" t="n"/>
      <c r="B894" s="14" t="n"/>
      <c r="C894" s="14" t="n"/>
      <c r="D894" s="14" t="n"/>
      <c r="E894" s="17">
        <f>IFERROR(VLOOKUP(C894,Items!A:E,5,0),"")</f>
        <v/>
      </c>
    </row>
    <row r="895" ht="15" customHeight="1" s="12">
      <c r="A895" s="16" t="n"/>
      <c r="B895" s="14" t="n"/>
      <c r="C895" s="14" t="n"/>
      <c r="D895" s="14" t="n"/>
      <c r="E895" s="17">
        <f>IFERROR(VLOOKUP(C895,Items!A:E,5,0),"")</f>
        <v/>
      </c>
    </row>
    <row r="896" ht="15" customHeight="1" s="12">
      <c r="A896" s="16" t="n"/>
      <c r="B896" s="14" t="n"/>
      <c r="C896" s="14" t="n"/>
      <c r="D896" s="14" t="n"/>
      <c r="E896" s="17">
        <f>IFERROR(VLOOKUP(C896,Items!A:E,5,0),"")</f>
        <v/>
      </c>
    </row>
    <row r="897" ht="15" customHeight="1" s="12">
      <c r="A897" s="16" t="n"/>
      <c r="B897" s="14" t="n"/>
      <c r="C897" s="14" t="n"/>
      <c r="D897" s="14" t="n"/>
      <c r="E897" s="17">
        <f>IFERROR(VLOOKUP(C897,Items!A:E,5,0),"")</f>
        <v/>
      </c>
    </row>
    <row r="898" ht="15" customHeight="1" s="12">
      <c r="A898" s="16" t="n"/>
      <c r="B898" s="14" t="n"/>
      <c r="C898" s="14" t="n"/>
      <c r="D898" s="14" t="n"/>
      <c r="E898" s="17">
        <f>IFERROR(VLOOKUP(C898,Items!A:E,5,0),"")</f>
        <v/>
      </c>
    </row>
    <row r="899" ht="15" customHeight="1" s="12">
      <c r="A899" s="16" t="n"/>
      <c r="B899" s="14" t="n"/>
      <c r="C899" s="14" t="n"/>
      <c r="D899" s="14" t="n"/>
      <c r="E899" s="17">
        <f>IFERROR(VLOOKUP(C899,Items!A:E,5,0),"")</f>
        <v/>
      </c>
    </row>
    <row r="900" ht="15" customHeight="1" s="12">
      <c r="A900" s="16" t="n"/>
      <c r="B900" s="14" t="n"/>
      <c r="C900" s="14" t="n"/>
      <c r="D900" s="14" t="n"/>
      <c r="E900" s="17">
        <f>IFERROR(VLOOKUP(C900,Items!A:E,5,0),"")</f>
        <v/>
      </c>
    </row>
    <row r="901" ht="15" customHeight="1" s="12">
      <c r="A901" s="16" t="n"/>
      <c r="B901" s="14" t="n"/>
      <c r="C901" s="14" t="n"/>
      <c r="D901" s="14" t="n"/>
      <c r="E901" s="17">
        <f>IFERROR(VLOOKUP(C901,Items!A:E,5,0),"")</f>
        <v/>
      </c>
    </row>
    <row r="902" ht="15" customHeight="1" s="12">
      <c r="A902" s="16" t="n"/>
      <c r="B902" s="14" t="n"/>
      <c r="C902" s="14" t="n"/>
      <c r="D902" s="14" t="n"/>
      <c r="E902" s="17">
        <f>IFERROR(VLOOKUP(C902,Items!A:E,5,0),"")</f>
        <v/>
      </c>
    </row>
    <row r="903" ht="15" customHeight="1" s="12">
      <c r="A903" s="16" t="n"/>
      <c r="B903" s="14" t="n"/>
      <c r="C903" s="14" t="n"/>
      <c r="D903" s="14" t="n"/>
      <c r="E903" s="17">
        <f>IFERROR(VLOOKUP(C903,Items!A:E,5,0),"")</f>
        <v/>
      </c>
    </row>
    <row r="904" ht="15" customHeight="1" s="12">
      <c r="A904" s="16" t="n"/>
      <c r="B904" s="14" t="n"/>
      <c r="C904" s="14" t="n"/>
      <c r="D904" s="14" t="n"/>
      <c r="E904" s="17">
        <f>IFERROR(VLOOKUP(C904,Items!A:E,5,0),"")</f>
        <v/>
      </c>
    </row>
    <row r="905" ht="15" customHeight="1" s="12">
      <c r="A905" s="16" t="n"/>
      <c r="B905" s="14" t="n"/>
      <c r="C905" s="14" t="n"/>
      <c r="D905" s="14" t="n"/>
      <c r="E905" s="17">
        <f>IFERROR(VLOOKUP(C905,Items!A:E,5,0),"")</f>
        <v/>
      </c>
    </row>
    <row r="906" ht="15" customHeight="1" s="12">
      <c r="A906" s="16" t="n"/>
      <c r="B906" s="14" t="n"/>
      <c r="C906" s="14" t="n"/>
      <c r="D906" s="14" t="n"/>
      <c r="E906" s="17">
        <f>IFERROR(VLOOKUP(C906,Items!A:E,5,0),"")</f>
        <v/>
      </c>
    </row>
    <row r="907" ht="15" customHeight="1" s="12">
      <c r="A907" s="16" t="n"/>
      <c r="B907" s="14" t="n"/>
      <c r="C907" s="14" t="n"/>
      <c r="D907" s="14" t="n"/>
      <c r="E907" s="17">
        <f>IFERROR(VLOOKUP(C907,Items!A:E,5,0),"")</f>
        <v/>
      </c>
    </row>
    <row r="908" ht="15" customHeight="1" s="12">
      <c r="A908" s="16" t="n"/>
      <c r="B908" s="14" t="n"/>
      <c r="C908" s="14" t="n"/>
      <c r="D908" s="14" t="n"/>
      <c r="E908" s="17">
        <f>IFERROR(VLOOKUP(C908,Items!A:E,5,0),"")</f>
        <v/>
      </c>
    </row>
    <row r="909" ht="15" customHeight="1" s="12">
      <c r="A909" s="16" t="n"/>
      <c r="B909" s="14" t="n"/>
      <c r="C909" s="14" t="n"/>
      <c r="D909" s="14" t="n"/>
      <c r="E909" s="17">
        <f>IFERROR(VLOOKUP(C909,Items!A:E,5,0),"")</f>
        <v/>
      </c>
    </row>
    <row r="910" ht="15" customHeight="1" s="12">
      <c r="A910" s="16" t="n"/>
      <c r="B910" s="14" t="n"/>
      <c r="C910" s="14" t="n"/>
      <c r="D910" s="14" t="n"/>
      <c r="E910" s="17">
        <f>IFERROR(VLOOKUP(C910,Items!A:E,5,0),"")</f>
        <v/>
      </c>
    </row>
    <row r="911" ht="15" customHeight="1" s="12">
      <c r="A911" s="16" t="n"/>
      <c r="B911" s="14" t="n"/>
      <c r="C911" s="14" t="n"/>
      <c r="D911" s="14" t="n"/>
      <c r="E911" s="17">
        <f>IFERROR(VLOOKUP(C911,Items!A:E,5,0),"")</f>
        <v/>
      </c>
    </row>
    <row r="912" ht="15" customHeight="1" s="12">
      <c r="A912" s="16" t="n"/>
      <c r="B912" s="14" t="n"/>
      <c r="C912" s="14" t="n"/>
      <c r="D912" s="14" t="n"/>
      <c r="E912" s="17">
        <f>IFERROR(VLOOKUP(C912,Items!A:E,5,0),"")</f>
        <v/>
      </c>
    </row>
    <row r="913" ht="15" customHeight="1" s="12">
      <c r="A913" s="16" t="n"/>
      <c r="B913" s="14" t="n"/>
      <c r="C913" s="14" t="n"/>
      <c r="D913" s="14" t="n"/>
      <c r="E913" s="17">
        <f>IFERROR(VLOOKUP(C913,Items!A:E,5,0),"")</f>
        <v/>
      </c>
    </row>
    <row r="914" ht="15" customHeight="1" s="12">
      <c r="A914" s="16" t="n"/>
      <c r="B914" s="14" t="n"/>
      <c r="C914" s="14" t="n"/>
      <c r="D914" s="14" t="n"/>
      <c r="E914" s="17">
        <f>IFERROR(VLOOKUP(C914,Items!A:E,5,0),"")</f>
        <v/>
      </c>
    </row>
    <row r="915" ht="15" customHeight="1" s="12">
      <c r="A915" s="16" t="n"/>
      <c r="B915" s="14" t="n"/>
      <c r="C915" s="14" t="n"/>
      <c r="D915" s="14" t="n"/>
      <c r="E915" s="17">
        <f>IFERROR(VLOOKUP(C915,Items!A:E,5,0),"")</f>
        <v/>
      </c>
    </row>
    <row r="916" ht="15" customHeight="1" s="12">
      <c r="A916" s="16" t="n"/>
      <c r="B916" s="14" t="n"/>
      <c r="C916" s="14" t="n"/>
      <c r="D916" s="14" t="n"/>
      <c r="E916" s="17">
        <f>IFERROR(VLOOKUP(C916,Items!A:E,5,0),"")</f>
        <v/>
      </c>
    </row>
    <row r="917" ht="15" customHeight="1" s="12">
      <c r="A917" s="16" t="n"/>
      <c r="B917" s="14" t="n"/>
      <c r="C917" s="14" t="n"/>
      <c r="D917" s="14" t="n"/>
      <c r="E917" s="17">
        <f>IFERROR(VLOOKUP(C917,Items!A:E,5,0),"")</f>
        <v/>
      </c>
    </row>
    <row r="918" ht="15" customHeight="1" s="12">
      <c r="A918" s="16" t="n"/>
      <c r="B918" s="14" t="n"/>
      <c r="C918" s="14" t="n"/>
      <c r="D918" s="14" t="n"/>
      <c r="E918" s="17">
        <f>IFERROR(VLOOKUP(C918,Items!A:E,5,0),"")</f>
        <v/>
      </c>
    </row>
    <row r="919" ht="15" customHeight="1" s="12">
      <c r="A919" s="16" t="n"/>
      <c r="B919" s="14" t="n"/>
      <c r="C919" s="14" t="n"/>
      <c r="D919" s="14" t="n"/>
      <c r="E919" s="17">
        <f>IFERROR(VLOOKUP(C919,Items!A:E,5,0),"")</f>
        <v/>
      </c>
    </row>
    <row r="920" ht="15" customHeight="1" s="12">
      <c r="A920" s="16" t="n"/>
      <c r="B920" s="14" t="n"/>
      <c r="C920" s="14" t="n"/>
      <c r="D920" s="14" t="n"/>
      <c r="E920" s="17">
        <f>IFERROR(VLOOKUP(C920,Items!A:E,5,0),"")</f>
        <v/>
      </c>
    </row>
    <row r="921" ht="15" customHeight="1" s="12">
      <c r="A921" s="16" t="n"/>
      <c r="B921" s="14" t="n"/>
      <c r="C921" s="14" t="n"/>
      <c r="D921" s="14" t="n"/>
      <c r="E921" s="17">
        <f>IFERROR(VLOOKUP(C921,Items!A:E,5,0),"")</f>
        <v/>
      </c>
    </row>
    <row r="922" ht="15" customHeight="1" s="12">
      <c r="A922" s="16" t="n"/>
      <c r="B922" s="14" t="n"/>
      <c r="C922" s="14" t="n"/>
      <c r="D922" s="14" t="n"/>
      <c r="E922" s="17">
        <f>IFERROR(VLOOKUP(C922,Items!A:E,5,0),"")</f>
        <v/>
      </c>
    </row>
    <row r="923" ht="15" customHeight="1" s="12">
      <c r="A923" s="16" t="n"/>
      <c r="B923" s="14" t="n"/>
      <c r="C923" s="14" t="n"/>
      <c r="D923" s="14" t="n"/>
      <c r="E923" s="17">
        <f>IFERROR(VLOOKUP(C923,Items!A:E,5,0),"")</f>
        <v/>
      </c>
    </row>
    <row r="924" ht="15" customHeight="1" s="12">
      <c r="A924" s="16" t="n"/>
      <c r="B924" s="14" t="n"/>
      <c r="C924" s="14" t="n"/>
      <c r="D924" s="14" t="n"/>
      <c r="E924" s="17">
        <f>IFERROR(VLOOKUP(C924,Items!A:E,5,0),"")</f>
        <v/>
      </c>
    </row>
    <row r="925" ht="15" customHeight="1" s="12">
      <c r="A925" s="16" t="n"/>
      <c r="B925" s="14" t="n"/>
      <c r="C925" s="14" t="n"/>
      <c r="D925" s="14" t="n"/>
      <c r="E925" s="17">
        <f>IFERROR(VLOOKUP(C925,Items!A:E,5,0),"")</f>
        <v/>
      </c>
    </row>
    <row r="926" ht="15" customHeight="1" s="12">
      <c r="A926" s="16" t="n"/>
      <c r="B926" s="14" t="n"/>
      <c r="C926" s="14" t="n"/>
      <c r="D926" s="14" t="n"/>
      <c r="E926" s="17">
        <f>IFERROR(VLOOKUP(C926,Items!A:E,5,0),"")</f>
        <v/>
      </c>
    </row>
    <row r="927" ht="15" customHeight="1" s="12">
      <c r="A927" s="16" t="n"/>
      <c r="B927" s="14" t="n"/>
      <c r="C927" s="14" t="n"/>
      <c r="D927" s="14" t="n"/>
      <c r="E927" s="17">
        <f>IFERROR(VLOOKUP(C927,Items!A:E,5,0),"")</f>
        <v/>
      </c>
    </row>
    <row r="928" ht="15" customHeight="1" s="12">
      <c r="A928" s="16" t="n"/>
      <c r="B928" s="14" t="n"/>
      <c r="C928" s="14" t="n"/>
      <c r="D928" s="14" t="n"/>
      <c r="E928" s="17">
        <f>IFERROR(VLOOKUP(C928,Items!A:E,5,0),"")</f>
        <v/>
      </c>
    </row>
    <row r="929" ht="15" customHeight="1" s="12">
      <c r="A929" s="16" t="n"/>
      <c r="B929" s="14" t="n"/>
      <c r="C929" s="14" t="n"/>
      <c r="D929" s="14" t="n"/>
      <c r="E929" s="17">
        <f>IFERROR(VLOOKUP(C929,Items!A:E,5,0),"")</f>
        <v/>
      </c>
    </row>
    <row r="930" ht="15" customHeight="1" s="12">
      <c r="A930" s="16" t="n"/>
      <c r="B930" s="14" t="n"/>
      <c r="C930" s="14" t="n"/>
      <c r="D930" s="14" t="n"/>
      <c r="E930" s="17">
        <f>IFERROR(VLOOKUP(C930,Items!A:E,5,0),"")</f>
        <v/>
      </c>
    </row>
    <row r="931" ht="15" customHeight="1" s="12">
      <c r="A931" s="16" t="n"/>
      <c r="B931" s="14" t="n"/>
      <c r="C931" s="14" t="n"/>
      <c r="D931" s="14" t="n"/>
      <c r="E931" s="17">
        <f>IFERROR(VLOOKUP(C931,Items!A:E,5,0),"")</f>
        <v/>
      </c>
    </row>
    <row r="932" ht="15" customHeight="1" s="12">
      <c r="A932" s="16" t="n"/>
      <c r="B932" s="14" t="n"/>
      <c r="C932" s="14" t="n"/>
      <c r="D932" s="14" t="n"/>
      <c r="E932" s="17">
        <f>IFERROR(VLOOKUP(C932,Items!A:E,5,0),"")</f>
        <v/>
      </c>
    </row>
    <row r="933" ht="15" customHeight="1" s="12">
      <c r="A933" s="16" t="n"/>
      <c r="B933" s="14" t="n"/>
      <c r="C933" s="14" t="n"/>
      <c r="D933" s="14" t="n"/>
      <c r="E933" s="17">
        <f>IFERROR(VLOOKUP(C933,Items!A:E,5,0),"")</f>
        <v/>
      </c>
    </row>
    <row r="934" ht="15" customHeight="1" s="12">
      <c r="A934" s="16" t="n"/>
      <c r="B934" s="14" t="n"/>
      <c r="C934" s="14" t="n"/>
      <c r="D934" s="14" t="n"/>
      <c r="E934" s="17">
        <f>IFERROR(VLOOKUP(C934,Items!A:E,5,0),"")</f>
        <v/>
      </c>
    </row>
    <row r="935" ht="15" customHeight="1" s="12">
      <c r="A935" s="16" t="n"/>
      <c r="B935" s="14" t="n"/>
      <c r="C935" s="14" t="n"/>
      <c r="D935" s="14" t="n"/>
      <c r="E935" s="17">
        <f>IFERROR(VLOOKUP(C935,Items!A:E,5,0),"")</f>
        <v/>
      </c>
    </row>
    <row r="936" ht="15" customHeight="1" s="12">
      <c r="A936" s="16" t="n"/>
      <c r="B936" s="14" t="n"/>
      <c r="C936" s="14" t="n"/>
      <c r="D936" s="14" t="n"/>
      <c r="E936" s="17">
        <f>IFERROR(VLOOKUP(C936,Items!A:E,5,0),"")</f>
        <v/>
      </c>
    </row>
    <row r="937" ht="15" customHeight="1" s="12">
      <c r="A937" s="16" t="n"/>
      <c r="B937" s="14" t="n"/>
      <c r="C937" s="14" t="n"/>
      <c r="D937" s="14" t="n"/>
      <c r="E937" s="17">
        <f>IFERROR(VLOOKUP(C937,Items!A:E,5,0),"")</f>
        <v/>
      </c>
    </row>
    <row r="938" ht="15" customHeight="1" s="12">
      <c r="A938" s="16" t="n"/>
      <c r="B938" s="14" t="n"/>
      <c r="C938" s="14" t="n"/>
      <c r="D938" s="14" t="n"/>
      <c r="E938" s="17">
        <f>IFERROR(VLOOKUP(C938,Items!A:E,5,0),"")</f>
        <v/>
      </c>
    </row>
    <row r="939" ht="15" customHeight="1" s="12">
      <c r="A939" s="16" t="n"/>
      <c r="B939" s="14" t="n"/>
      <c r="C939" s="14" t="n"/>
      <c r="D939" s="14" t="n"/>
      <c r="E939" s="17">
        <f>IFERROR(VLOOKUP(C939,Items!A:E,5,0),"")</f>
        <v/>
      </c>
    </row>
    <row r="940" ht="15" customHeight="1" s="12">
      <c r="A940" s="16" t="n"/>
      <c r="B940" s="14" t="n"/>
      <c r="C940" s="14" t="n"/>
      <c r="D940" s="14" t="n"/>
      <c r="E940" s="17">
        <f>IFERROR(VLOOKUP(C940,Items!A:E,5,0),"")</f>
        <v/>
      </c>
    </row>
    <row r="941" ht="15" customHeight="1" s="12">
      <c r="A941" s="16" t="n"/>
      <c r="B941" s="14" t="n"/>
      <c r="C941" s="14" t="n"/>
      <c r="D941" s="14" t="n"/>
      <c r="E941" s="17">
        <f>IFERROR(VLOOKUP(C941,Items!A:E,5,0),"")</f>
        <v/>
      </c>
    </row>
    <row r="942" ht="15" customHeight="1" s="12">
      <c r="A942" s="16" t="n"/>
      <c r="B942" s="14" t="n"/>
      <c r="C942" s="14" t="n"/>
      <c r="D942" s="14" t="n"/>
      <c r="E942" s="17">
        <f>IFERROR(VLOOKUP(C942,Items!A:E,5,0),"")</f>
        <v/>
      </c>
    </row>
    <row r="943" ht="15" customHeight="1" s="12">
      <c r="A943" s="16" t="n"/>
      <c r="B943" s="14" t="n"/>
      <c r="C943" s="14" t="n"/>
      <c r="D943" s="14" t="n"/>
      <c r="E943" s="17">
        <f>IFERROR(VLOOKUP(C943,Items!A:E,5,0),"")</f>
        <v/>
      </c>
    </row>
    <row r="944" ht="15" customHeight="1" s="12">
      <c r="A944" s="16" t="n"/>
      <c r="B944" s="14" t="n"/>
      <c r="C944" s="14" t="n"/>
      <c r="D944" s="14" t="n"/>
      <c r="E944" s="17">
        <f>IFERROR(VLOOKUP(C944,Items!A:E,5,0),"")</f>
        <v/>
      </c>
    </row>
    <row r="945" ht="15" customHeight="1" s="12">
      <c r="A945" s="16" t="n"/>
      <c r="B945" s="14" t="n"/>
      <c r="C945" s="14" t="n"/>
      <c r="D945" s="14" t="n"/>
      <c r="E945" s="17">
        <f>IFERROR(VLOOKUP(C945,Items!A:E,5,0),"")</f>
        <v/>
      </c>
    </row>
    <row r="946" ht="15" customHeight="1" s="12">
      <c r="A946" s="16" t="n"/>
      <c r="B946" s="14" t="n"/>
      <c r="C946" s="14" t="n"/>
      <c r="D946" s="14" t="n"/>
      <c r="E946" s="17">
        <f>IFERROR(VLOOKUP(C946,Items!A:E,5,0),"")</f>
        <v/>
      </c>
    </row>
    <row r="947" ht="15" customHeight="1" s="12">
      <c r="A947" s="16" t="n"/>
      <c r="B947" s="14" t="n"/>
      <c r="C947" s="14" t="n"/>
      <c r="D947" s="14" t="n"/>
      <c r="E947" s="17">
        <f>IFERROR(VLOOKUP(C947,Items!A:E,5,0),"")</f>
        <v/>
      </c>
    </row>
    <row r="948" ht="15" customHeight="1" s="12">
      <c r="A948" s="16" t="n"/>
      <c r="B948" s="14" t="n"/>
      <c r="C948" s="14" t="n"/>
      <c r="D948" s="14" t="n"/>
      <c r="E948" s="17">
        <f>IFERROR(VLOOKUP(C948,Items!A:E,5,0),"")</f>
        <v/>
      </c>
    </row>
    <row r="949" ht="15" customHeight="1" s="12">
      <c r="A949" s="16" t="n"/>
      <c r="B949" s="14" t="n"/>
      <c r="C949" s="14" t="n"/>
      <c r="D949" s="14" t="n"/>
      <c r="E949" s="17">
        <f>IFERROR(VLOOKUP(C949,Items!A:E,5,0),"")</f>
        <v/>
      </c>
    </row>
    <row r="950" ht="15" customHeight="1" s="12">
      <c r="A950" s="16" t="n"/>
      <c r="B950" s="14" t="n"/>
      <c r="C950" s="14" t="n"/>
      <c r="D950" s="14" t="n"/>
      <c r="E950" s="17">
        <f>IFERROR(VLOOKUP(C950,Items!A:E,5,0),"")</f>
        <v/>
      </c>
    </row>
    <row r="951" ht="15" customHeight="1" s="12">
      <c r="A951" s="16" t="n"/>
      <c r="B951" s="14" t="n"/>
      <c r="C951" s="14" t="n"/>
      <c r="D951" s="14" t="n"/>
      <c r="E951" s="17">
        <f>IFERROR(VLOOKUP(C951,Items!A:E,5,0),"")</f>
        <v/>
      </c>
    </row>
    <row r="952" ht="15" customHeight="1" s="12">
      <c r="A952" s="16" t="n"/>
      <c r="B952" s="14" t="n"/>
      <c r="C952" s="14" t="n"/>
      <c r="D952" s="14" t="n"/>
      <c r="E952" s="17">
        <f>IFERROR(VLOOKUP(C952,Items!A:E,5,0),"")</f>
        <v/>
      </c>
    </row>
    <row r="953" ht="15" customHeight="1" s="12">
      <c r="A953" s="16" t="n"/>
      <c r="B953" s="14" t="n"/>
      <c r="C953" s="14" t="n"/>
      <c r="D953" s="14" t="n"/>
      <c r="E953" s="17">
        <f>IFERROR(VLOOKUP(C953,Items!A:E,5,0),"")</f>
        <v/>
      </c>
    </row>
    <row r="954" ht="15" customHeight="1" s="12">
      <c r="A954" s="16" t="n"/>
      <c r="B954" s="14" t="n"/>
      <c r="C954" s="14" t="n"/>
      <c r="D954" s="14" t="n"/>
      <c r="E954" s="17">
        <f>IFERROR(VLOOKUP(C954,Items!A:E,5,0),"")</f>
        <v/>
      </c>
    </row>
    <row r="955" ht="15" customHeight="1" s="12">
      <c r="A955" s="16" t="n"/>
      <c r="B955" s="14" t="n"/>
      <c r="C955" s="14" t="n"/>
      <c r="D955" s="14" t="n"/>
      <c r="E955" s="17">
        <f>IFERROR(VLOOKUP(C955,Items!A:E,5,0),"")</f>
        <v/>
      </c>
    </row>
    <row r="956" ht="15" customHeight="1" s="12">
      <c r="A956" s="16" t="n"/>
      <c r="B956" s="14" t="n"/>
      <c r="C956" s="14" t="n"/>
      <c r="D956" s="14" t="n"/>
      <c r="E956" s="17">
        <f>IFERROR(VLOOKUP(C956,Items!A:E,5,0),"")</f>
        <v/>
      </c>
    </row>
    <row r="957" ht="15" customHeight="1" s="12">
      <c r="A957" s="16" t="n"/>
      <c r="B957" s="14" t="n"/>
      <c r="C957" s="14" t="n"/>
      <c r="D957" s="14" t="n"/>
      <c r="E957" s="17">
        <f>IFERROR(VLOOKUP(C957,Items!A:E,5,0),"")</f>
        <v/>
      </c>
    </row>
    <row r="958" ht="15" customHeight="1" s="12">
      <c r="A958" s="16" t="n"/>
      <c r="B958" s="14" t="n"/>
      <c r="C958" s="14" t="n"/>
      <c r="D958" s="14" t="n"/>
      <c r="E958" s="17">
        <f>IFERROR(VLOOKUP(C958,Items!A:E,5,0),"")</f>
        <v/>
      </c>
    </row>
    <row r="959" ht="15" customHeight="1" s="12">
      <c r="A959" s="16" t="n"/>
      <c r="B959" s="14" t="n"/>
      <c r="C959" s="14" t="n"/>
      <c r="D959" s="14" t="n"/>
      <c r="E959" s="17">
        <f>IFERROR(VLOOKUP(C959,Items!A:E,5,0),"")</f>
        <v/>
      </c>
    </row>
    <row r="960" ht="15" customHeight="1" s="12">
      <c r="A960" s="16" t="n"/>
      <c r="B960" s="14" t="n"/>
      <c r="C960" s="14" t="n"/>
      <c r="D960" s="14" t="n"/>
      <c r="E960" s="17">
        <f>IFERROR(VLOOKUP(C960,Items!A:E,5,0),"")</f>
        <v/>
      </c>
    </row>
    <row r="961" ht="15" customHeight="1" s="12">
      <c r="A961" s="16" t="n"/>
      <c r="B961" s="14" t="n"/>
      <c r="C961" s="14" t="n"/>
      <c r="D961" s="14" t="n"/>
      <c r="E961" s="17">
        <f>IFERROR(VLOOKUP(C961,Items!A:E,5,0),"")</f>
        <v/>
      </c>
    </row>
    <row r="962" ht="15" customHeight="1" s="12">
      <c r="A962" s="16" t="n"/>
      <c r="B962" s="14" t="n"/>
      <c r="C962" s="14" t="n"/>
      <c r="D962" s="14" t="n"/>
      <c r="E962" s="17">
        <f>IFERROR(VLOOKUP(C962,Items!A:E,5,0),"")</f>
        <v/>
      </c>
    </row>
    <row r="963" ht="15" customHeight="1" s="12">
      <c r="A963" s="16" t="n"/>
      <c r="B963" s="14" t="n"/>
      <c r="C963" s="14" t="n"/>
      <c r="D963" s="14" t="n"/>
      <c r="E963" s="17">
        <f>IFERROR(VLOOKUP(C963,Items!A:E,5,0),"")</f>
        <v/>
      </c>
    </row>
    <row r="964" ht="15" customHeight="1" s="12">
      <c r="A964" s="16" t="n"/>
      <c r="B964" s="14" t="n"/>
      <c r="C964" s="14" t="n"/>
      <c r="D964" s="14" t="n"/>
      <c r="E964" s="17">
        <f>IFERROR(VLOOKUP(C964,Items!A:E,5,0),"")</f>
        <v/>
      </c>
    </row>
    <row r="965" ht="15" customHeight="1" s="12">
      <c r="A965" s="16" t="n"/>
      <c r="B965" s="14" t="n"/>
      <c r="C965" s="14" t="n"/>
      <c r="D965" s="14" t="n"/>
      <c r="E965" s="17">
        <f>IFERROR(VLOOKUP(C965,Items!A:E,5,0),"")</f>
        <v/>
      </c>
    </row>
    <row r="966" ht="15" customHeight="1" s="12">
      <c r="A966" s="16" t="n"/>
      <c r="B966" s="14" t="n"/>
      <c r="C966" s="14" t="n"/>
      <c r="D966" s="14" t="n"/>
      <c r="E966" s="17">
        <f>IFERROR(VLOOKUP(C966,Items!A:E,5,0),"")</f>
        <v/>
      </c>
    </row>
    <row r="967" ht="15" customHeight="1" s="12">
      <c r="A967" s="16" t="n"/>
      <c r="B967" s="14" t="n"/>
      <c r="C967" s="14" t="n"/>
      <c r="D967" s="14" t="n"/>
      <c r="E967" s="17">
        <f>IFERROR(VLOOKUP(C967,Items!A:E,5,0),"")</f>
        <v/>
      </c>
    </row>
    <row r="968" ht="15" customHeight="1" s="12">
      <c r="A968" s="16" t="n"/>
      <c r="B968" s="14" t="n"/>
      <c r="C968" s="14" t="n"/>
      <c r="D968" s="14" t="n"/>
      <c r="E968" s="17">
        <f>IFERROR(VLOOKUP(C968,Items!A:E,5,0),"")</f>
        <v/>
      </c>
    </row>
    <row r="969" ht="15" customHeight="1" s="12">
      <c r="A969" s="16" t="n"/>
      <c r="B969" s="14" t="n"/>
      <c r="C969" s="14" t="n"/>
      <c r="D969" s="14" t="n"/>
      <c r="E969" s="17">
        <f>IFERROR(VLOOKUP(C969,Items!A:E,5,0),"")</f>
        <v/>
      </c>
    </row>
    <row r="970" ht="15" customHeight="1" s="12">
      <c r="A970" s="16" t="n"/>
      <c r="B970" s="14" t="n"/>
      <c r="C970" s="14" t="n"/>
      <c r="D970" s="14" t="n"/>
      <c r="E970" s="17">
        <f>IFERROR(VLOOKUP(C970,Items!A:E,5,0),"")</f>
        <v/>
      </c>
    </row>
    <row r="971" ht="15" customHeight="1" s="12">
      <c r="A971" s="16" t="n"/>
      <c r="B971" s="14" t="n"/>
      <c r="C971" s="14" t="n"/>
      <c r="D971" s="14" t="n"/>
      <c r="E971" s="17">
        <f>IFERROR(VLOOKUP(C971,Items!A:E,5,0),"")</f>
        <v/>
      </c>
    </row>
    <row r="972" ht="15" customHeight="1" s="12">
      <c r="A972" s="16" t="n"/>
      <c r="B972" s="14" t="n"/>
      <c r="C972" s="14" t="n"/>
      <c r="D972" s="14" t="n"/>
      <c r="E972" s="17">
        <f>IFERROR(VLOOKUP(C972,Items!A:E,5,0),"")</f>
        <v/>
      </c>
    </row>
    <row r="973" ht="15" customHeight="1" s="12">
      <c r="A973" s="16" t="n"/>
      <c r="B973" s="14" t="n"/>
      <c r="C973" s="14" t="n"/>
      <c r="D973" s="14" t="n"/>
      <c r="E973" s="17">
        <f>IFERROR(VLOOKUP(C973,Items!A:E,5,0),"")</f>
        <v/>
      </c>
    </row>
    <row r="974" ht="15" customHeight="1" s="12">
      <c r="A974" s="16" t="n"/>
      <c r="B974" s="14" t="n"/>
      <c r="C974" s="14" t="n"/>
      <c r="D974" s="14" t="n"/>
      <c r="E974" s="17">
        <f>IFERROR(VLOOKUP(C974,Items!A:E,5,0),"")</f>
        <v/>
      </c>
    </row>
    <row r="975" ht="15" customHeight="1" s="12">
      <c r="A975" s="16" t="n"/>
      <c r="B975" s="14" t="n"/>
      <c r="C975" s="14" t="n"/>
      <c r="D975" s="14" t="n"/>
      <c r="E975" s="17">
        <f>IFERROR(VLOOKUP(C975,Items!A:E,5,0),"")</f>
        <v/>
      </c>
    </row>
    <row r="976" ht="15" customHeight="1" s="12">
      <c r="A976" s="16" t="n"/>
      <c r="B976" s="14" t="n"/>
      <c r="C976" s="14" t="n"/>
      <c r="D976" s="14" t="n"/>
      <c r="E976" s="17">
        <f>IFERROR(VLOOKUP(C976,Items!A:E,5,0),"")</f>
        <v/>
      </c>
    </row>
    <row r="977" ht="15" customHeight="1" s="12">
      <c r="A977" s="16" t="n"/>
      <c r="B977" s="14" t="n"/>
      <c r="C977" s="14" t="n"/>
      <c r="D977" s="14" t="n"/>
      <c r="E977" s="17">
        <f>IFERROR(VLOOKUP(C977,Items!A:E,5,0),"")</f>
        <v/>
      </c>
    </row>
    <row r="978" ht="15" customHeight="1" s="12">
      <c r="A978" s="16" t="n"/>
      <c r="B978" s="14" t="n"/>
      <c r="C978" s="14" t="n"/>
      <c r="D978" s="14" t="n"/>
      <c r="E978" s="17">
        <f>IFERROR(VLOOKUP(C978,Items!A:E,5,0),"")</f>
        <v/>
      </c>
    </row>
    <row r="979" ht="15" customHeight="1" s="12">
      <c r="A979" s="16" t="n"/>
      <c r="B979" s="14" t="n"/>
      <c r="C979" s="14" t="n"/>
      <c r="D979" s="14" t="n"/>
      <c r="E979" s="17">
        <f>IFERROR(VLOOKUP(C979,Items!A:E,5,0),"")</f>
        <v/>
      </c>
    </row>
    <row r="980" ht="15" customHeight="1" s="12">
      <c r="A980" s="16" t="n"/>
      <c r="B980" s="14" t="n"/>
      <c r="C980" s="14" t="n"/>
      <c r="D980" s="14" t="n"/>
      <c r="E980" s="17">
        <f>IFERROR(VLOOKUP(C980,Items!A:E,5,0),"")</f>
        <v/>
      </c>
    </row>
    <row r="981" ht="15" customHeight="1" s="12">
      <c r="A981" s="16" t="n"/>
      <c r="B981" s="14" t="n"/>
      <c r="C981" s="14" t="n"/>
      <c r="D981" s="14" t="n"/>
      <c r="E981" s="17">
        <f>IFERROR(VLOOKUP(C981,Items!A:E,5,0),"")</f>
        <v/>
      </c>
    </row>
    <row r="982" ht="15" customHeight="1" s="12">
      <c r="A982" s="16" t="n"/>
      <c r="B982" s="14" t="n"/>
      <c r="C982" s="14" t="n"/>
      <c r="D982" s="14" t="n"/>
      <c r="E982" s="17">
        <f>IFERROR(VLOOKUP(C982,Items!A:E,5,0),"")</f>
        <v/>
      </c>
    </row>
    <row r="983" ht="15" customHeight="1" s="12">
      <c r="A983" s="16" t="n"/>
      <c r="B983" s="14" t="n"/>
      <c r="C983" s="14" t="n"/>
      <c r="D983" s="14" t="n"/>
      <c r="E983" s="17">
        <f>IFERROR(VLOOKUP(C983,Items!A:E,5,0),"")</f>
        <v/>
      </c>
    </row>
    <row r="984" ht="15" customHeight="1" s="12">
      <c r="A984" s="16" t="n"/>
      <c r="B984" s="14" t="n"/>
      <c r="C984" s="14" t="n"/>
      <c r="D984" s="14" t="n"/>
      <c r="E984" s="17">
        <f>IFERROR(VLOOKUP(C984,Items!A:E,5,0),"")</f>
        <v/>
      </c>
    </row>
    <row r="985" ht="15" customHeight="1" s="12">
      <c r="A985" s="16" t="n"/>
      <c r="B985" s="14" t="n"/>
      <c r="C985" s="14" t="n"/>
      <c r="D985" s="14" t="n"/>
      <c r="E985" s="17">
        <f>IFERROR(VLOOKUP(C985,Items!A:E,5,0),"")</f>
        <v/>
      </c>
    </row>
    <row r="986" ht="15" customHeight="1" s="12">
      <c r="A986" s="16" t="n"/>
      <c r="B986" s="14" t="n"/>
      <c r="C986" s="14" t="n"/>
      <c r="D986" s="14" t="n"/>
      <c r="E986" s="17">
        <f>IFERROR(VLOOKUP(C986,Items!A:E,5,0),"")</f>
        <v/>
      </c>
    </row>
    <row r="987" ht="15" customHeight="1" s="12">
      <c r="A987" s="16" t="n"/>
      <c r="B987" s="14" t="n"/>
      <c r="C987" s="14" t="n"/>
      <c r="D987" s="14" t="n"/>
      <c r="E987" s="17">
        <f>IFERROR(VLOOKUP(C987,Items!A:E,5,0),"")</f>
        <v/>
      </c>
    </row>
    <row r="988" ht="15" customHeight="1" s="12">
      <c r="A988" s="16" t="n"/>
      <c r="B988" s="14" t="n"/>
      <c r="C988" s="14" t="n"/>
      <c r="D988" s="14" t="n"/>
      <c r="E988" s="17">
        <f>IFERROR(VLOOKUP(C988,Items!A:E,5,0),"")</f>
        <v/>
      </c>
    </row>
    <row r="989" ht="15" customHeight="1" s="12">
      <c r="A989" s="16" t="n"/>
      <c r="B989" s="14" t="n"/>
      <c r="C989" s="14" t="n"/>
      <c r="D989" s="14" t="n"/>
      <c r="E989" s="17">
        <f>IFERROR(VLOOKUP(C989,Items!A:E,5,0),"")</f>
        <v/>
      </c>
    </row>
    <row r="990" ht="15" customHeight="1" s="12">
      <c r="A990" s="16" t="n"/>
      <c r="B990" s="14" t="n"/>
      <c r="C990" s="14" t="n"/>
      <c r="D990" s="14" t="n"/>
      <c r="E990" s="17">
        <f>IFERROR(VLOOKUP(C990,Items!A:E,5,0),"")</f>
        <v/>
      </c>
    </row>
    <row r="991" ht="15" customHeight="1" s="12">
      <c r="A991" s="16" t="n"/>
      <c r="B991" s="14" t="n"/>
      <c r="C991" s="14" t="n"/>
      <c r="D991" s="14" t="n"/>
      <c r="E991" s="17">
        <f>IFERROR(VLOOKUP(C991,Items!A:E,5,0),"")</f>
        <v/>
      </c>
    </row>
    <row r="992" ht="15" customHeight="1" s="12">
      <c r="A992" s="16" t="n"/>
      <c r="B992" s="14" t="n"/>
      <c r="C992" s="14" t="n"/>
      <c r="D992" s="14" t="n"/>
      <c r="E992" s="17">
        <f>IFERROR(VLOOKUP(C992,Items!A:E,5,0),"")</f>
        <v/>
      </c>
    </row>
    <row r="993" ht="15" customHeight="1" s="12">
      <c r="A993" s="16" t="n"/>
      <c r="B993" s="14" t="n"/>
      <c r="C993" s="14" t="n"/>
      <c r="D993" s="14" t="n"/>
      <c r="E993" s="17">
        <f>IFERROR(VLOOKUP(C993,Items!A:E,5,0),"")</f>
        <v/>
      </c>
    </row>
    <row r="994" ht="15" customHeight="1" s="12">
      <c r="A994" s="16" t="n"/>
      <c r="B994" s="14" t="n"/>
      <c r="C994" s="14" t="n"/>
      <c r="D994" s="14" t="n"/>
      <c r="E994" s="17">
        <f>IFERROR(VLOOKUP(C994,Items!A:E,5,0),"")</f>
        <v/>
      </c>
    </row>
    <row r="995" ht="15" customHeight="1" s="12">
      <c r="A995" s="16" t="n"/>
      <c r="B995" s="14" t="n"/>
      <c r="C995" s="14" t="n"/>
      <c r="D995" s="14" t="n"/>
      <c r="E995" s="17">
        <f>IFERROR(VLOOKUP(C995,Items!A:E,5,0),"")</f>
        <v/>
      </c>
    </row>
    <row r="996" ht="15" customHeight="1" s="12">
      <c r="A996" s="16" t="n"/>
      <c r="B996" s="14" t="n"/>
      <c r="C996" s="14" t="n"/>
      <c r="D996" s="14" t="n"/>
      <c r="E996" s="17">
        <f>IFERROR(VLOOKUP(C996,Items!A:E,5,0),"")</f>
        <v/>
      </c>
    </row>
    <row r="997" ht="15" customHeight="1" s="12">
      <c r="A997" s="16" t="n"/>
      <c r="B997" s="14" t="n"/>
      <c r="C997" s="14" t="n"/>
      <c r="D997" s="14" t="n"/>
      <c r="E997" s="17">
        <f>IFERROR(VLOOKUP(C997,Items!A:E,5,0),"")</f>
        <v/>
      </c>
    </row>
    <row r="998" ht="15" customHeight="1" s="12">
      <c r="A998" s="16" t="n"/>
      <c r="B998" s="14" t="n"/>
      <c r="C998" s="14" t="n"/>
      <c r="D998" s="14" t="n"/>
      <c r="E998" s="17">
        <f>IFERROR(VLOOKUP(C998,Items!A:E,5,0),"")</f>
        <v/>
      </c>
    </row>
    <row r="999" ht="15" customHeight="1" s="12">
      <c r="A999" s="16" t="n"/>
      <c r="B999" s="14" t="n"/>
      <c r="C999" s="14" t="n"/>
      <c r="D999" s="14" t="n"/>
      <c r="E999" s="17">
        <f>IFERROR(VLOOKUP(C999,Items!A:E,5,0),"")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499"/>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1" min="1" max="1"/>
    <col width="30" customWidth="1" style="11" min="2" max="2"/>
    <col width="12" customWidth="1" style="11" min="3" max="3"/>
    <col width="40" customWidth="1" style="11" min="4" max="4"/>
    <col width="30" customWidth="1" style="11" min="5" max="5"/>
  </cols>
  <sheetData>
    <row r="1" ht="15" customHeight="1" s="12">
      <c r="A1" s="13" t="inlineStr">
        <is>
          <t>التاريخ</t>
        </is>
      </c>
      <c r="B1" s="13" t="inlineStr">
        <is>
          <t>الوصف</t>
        </is>
      </c>
      <c r="C1" s="13" t="inlineStr">
        <is>
          <t>المبلغ</t>
        </is>
      </c>
      <c r="D1" s="13" t="inlineStr">
        <is>
          <t>التفاصيل (تظهر للسكان لو إظهار تفاصيل المصروفات = نعم)</t>
        </is>
      </c>
      <c r="E1" s="13" t="inlineStr">
        <is>
          <t>رابط الفاتورة (خاص بك)</t>
        </is>
      </c>
    </row>
    <row r="2" ht="15" customHeight="1" s="12">
      <c r="A2" s="16" t="n">
        <v>46305</v>
      </c>
      <c r="B2" s="14" t="inlineStr">
        <is>
          <t>مثال: تصليح طلمبة</t>
        </is>
      </c>
      <c r="C2" s="14" t="n">
        <v>300</v>
      </c>
      <c r="D2" s="14" t="inlineStr">
        <is>
          <t>تغيير الموتور القديم، الفني: ...</t>
        </is>
      </c>
      <c r="E2" s="14" t="n"/>
    </row>
    <row r="3" ht="15" customHeight="1" s="12">
      <c r="A3" s="16" t="n"/>
      <c r="B3" s="14" t="n"/>
      <c r="C3" s="14" t="n"/>
      <c r="D3" s="14" t="n"/>
      <c r="E3" s="14" t="n"/>
    </row>
    <row r="4" ht="15" customHeight="1" s="12">
      <c r="A4" s="16" t="n"/>
      <c r="B4" s="14" t="n"/>
      <c r="C4" s="14" t="n"/>
      <c r="D4" s="14" t="n"/>
      <c r="E4" s="14" t="n"/>
    </row>
    <row r="5" ht="15" customHeight="1" s="12">
      <c r="A5" s="16" t="n"/>
      <c r="B5" s="14" t="n"/>
      <c r="C5" s="14" t="n"/>
      <c r="D5" s="14" t="n"/>
      <c r="E5" s="14" t="n"/>
    </row>
    <row r="6" ht="15" customHeight="1" s="12">
      <c r="A6" s="16" t="n"/>
      <c r="B6" s="14" t="n"/>
      <c r="C6" s="14" t="n"/>
      <c r="D6" s="14" t="n"/>
      <c r="E6" s="14" t="n"/>
    </row>
    <row r="7" ht="15" customHeight="1" s="12">
      <c r="A7" s="16" t="n"/>
      <c r="B7" s="14" t="n"/>
      <c r="C7" s="14" t="n"/>
      <c r="D7" s="14" t="n"/>
      <c r="E7" s="14" t="n"/>
    </row>
    <row r="8" ht="15" customHeight="1" s="12">
      <c r="A8" s="16" t="n"/>
      <c r="B8" s="14" t="n"/>
      <c r="C8" s="14" t="n"/>
      <c r="D8" s="14" t="n"/>
      <c r="E8" s="14" t="n"/>
    </row>
    <row r="9" ht="15" customHeight="1" s="12">
      <c r="A9" s="16" t="n"/>
      <c r="B9" s="14" t="n"/>
      <c r="C9" s="14" t="n"/>
      <c r="D9" s="14" t="n"/>
      <c r="E9" s="14" t="n"/>
    </row>
    <row r="10" ht="15" customHeight="1" s="12">
      <c r="A10" s="16" t="n"/>
      <c r="B10" s="14" t="n"/>
      <c r="C10" s="14" t="n"/>
      <c r="D10" s="14" t="n"/>
      <c r="E10" s="14" t="n"/>
    </row>
    <row r="11" ht="15" customHeight="1" s="12">
      <c r="A11" s="16" t="n"/>
      <c r="B11" s="14" t="n"/>
      <c r="C11" s="14" t="n"/>
      <c r="D11" s="14" t="n"/>
      <c r="E11" s="14" t="n"/>
    </row>
    <row r="12" ht="15" customHeight="1" s="12">
      <c r="A12" s="16" t="n"/>
      <c r="B12" s="14" t="n"/>
      <c r="C12" s="14" t="n"/>
      <c r="D12" s="14" t="n"/>
      <c r="E12" s="14" t="n"/>
    </row>
    <row r="13" ht="15" customHeight="1" s="12">
      <c r="A13" s="16" t="n"/>
      <c r="B13" s="14" t="n"/>
      <c r="C13" s="14" t="n"/>
      <c r="D13" s="14" t="n"/>
      <c r="E13" s="14" t="n"/>
    </row>
    <row r="14" ht="15" customHeight="1" s="12">
      <c r="A14" s="16" t="n"/>
      <c r="B14" s="14" t="n"/>
      <c r="C14" s="14" t="n"/>
      <c r="D14" s="14" t="n"/>
      <c r="E14" s="14" t="n"/>
    </row>
    <row r="15" ht="15" customHeight="1" s="12">
      <c r="A15" s="16" t="n"/>
      <c r="B15" s="14" t="n"/>
      <c r="C15" s="14" t="n"/>
      <c r="D15" s="14" t="n"/>
      <c r="E15" s="14" t="n"/>
    </row>
    <row r="16" ht="15" customHeight="1" s="12">
      <c r="A16" s="16" t="n"/>
      <c r="B16" s="14" t="n"/>
      <c r="C16" s="14" t="n"/>
      <c r="D16" s="14" t="n"/>
      <c r="E16" s="14" t="n"/>
    </row>
    <row r="17" ht="15" customHeight="1" s="12">
      <c r="A17" s="16" t="n"/>
      <c r="B17" s="14" t="n"/>
      <c r="C17" s="14" t="n"/>
      <c r="D17" s="14" t="n"/>
      <c r="E17" s="14" t="n"/>
    </row>
    <row r="18" ht="15" customHeight="1" s="12">
      <c r="A18" s="16" t="n"/>
      <c r="B18" s="14" t="n"/>
      <c r="C18" s="14" t="n"/>
      <c r="D18" s="14" t="n"/>
      <c r="E18" s="14" t="n"/>
    </row>
    <row r="19" ht="15" customHeight="1" s="12">
      <c r="A19" s="16" t="n"/>
      <c r="B19" s="14" t="n"/>
      <c r="C19" s="14" t="n"/>
      <c r="D19" s="14" t="n"/>
      <c r="E19" s="14" t="n"/>
    </row>
    <row r="20" ht="15" customHeight="1" s="12">
      <c r="A20" s="16" t="n"/>
      <c r="B20" s="14" t="n"/>
      <c r="C20" s="14" t="n"/>
      <c r="D20" s="14" t="n"/>
      <c r="E20" s="14" t="n"/>
    </row>
    <row r="21" ht="15" customHeight="1" s="12">
      <c r="A21" s="16" t="n"/>
      <c r="B21" s="14" t="n"/>
      <c r="C21" s="14" t="n"/>
      <c r="D21" s="14" t="n"/>
      <c r="E21" s="14" t="n"/>
    </row>
    <row r="22" ht="15" customHeight="1" s="12">
      <c r="A22" s="16" t="n"/>
      <c r="B22" s="14" t="n"/>
      <c r="C22" s="14" t="n"/>
      <c r="D22" s="14" t="n"/>
      <c r="E22" s="14" t="n"/>
    </row>
    <row r="23" ht="15" customHeight="1" s="12">
      <c r="A23" s="16" t="n"/>
      <c r="B23" s="14" t="n"/>
      <c r="C23" s="14" t="n"/>
      <c r="D23" s="14" t="n"/>
      <c r="E23" s="14" t="n"/>
    </row>
    <row r="24" ht="15" customHeight="1" s="12">
      <c r="A24" s="16" t="n"/>
      <c r="B24" s="14" t="n"/>
      <c r="C24" s="14" t="n"/>
      <c r="D24" s="14" t="n"/>
      <c r="E24" s="14" t="n"/>
    </row>
    <row r="25" ht="15" customHeight="1" s="12">
      <c r="A25" s="16" t="n"/>
      <c r="B25" s="14" t="n"/>
      <c r="C25" s="14" t="n"/>
      <c r="D25" s="14" t="n"/>
      <c r="E25" s="14" t="n"/>
    </row>
    <row r="26" ht="15" customHeight="1" s="12">
      <c r="A26" s="16" t="n"/>
      <c r="B26" s="14" t="n"/>
      <c r="C26" s="14" t="n"/>
      <c r="D26" s="14" t="n"/>
      <c r="E26" s="14" t="n"/>
    </row>
    <row r="27" ht="15" customHeight="1" s="12">
      <c r="A27" s="16" t="n"/>
      <c r="B27" s="14" t="n"/>
      <c r="C27" s="14" t="n"/>
      <c r="D27" s="14" t="n"/>
      <c r="E27" s="14" t="n"/>
    </row>
    <row r="28" ht="15" customHeight="1" s="12">
      <c r="A28" s="16" t="n"/>
      <c r="B28" s="14" t="n"/>
      <c r="C28" s="14" t="n"/>
      <c r="D28" s="14" t="n"/>
      <c r="E28" s="14" t="n"/>
    </row>
    <row r="29" ht="15" customHeight="1" s="12">
      <c r="A29" s="16" t="n"/>
      <c r="B29" s="14" t="n"/>
      <c r="C29" s="14" t="n"/>
      <c r="D29" s="14" t="n"/>
      <c r="E29" s="14" t="n"/>
    </row>
    <row r="30" ht="15" customHeight="1" s="12">
      <c r="A30" s="16" t="n"/>
      <c r="B30" s="14" t="n"/>
      <c r="C30" s="14" t="n"/>
      <c r="D30" s="14" t="n"/>
      <c r="E30" s="14" t="n"/>
    </row>
    <row r="31" ht="15" customHeight="1" s="12">
      <c r="A31" s="16" t="n"/>
      <c r="B31" s="14" t="n"/>
      <c r="C31" s="14" t="n"/>
      <c r="D31" s="14" t="n"/>
      <c r="E31" s="14" t="n"/>
    </row>
    <row r="32" ht="15" customHeight="1" s="12">
      <c r="A32" s="16" t="n"/>
      <c r="B32" s="14" t="n"/>
      <c r="C32" s="14" t="n"/>
      <c r="D32" s="14" t="n"/>
      <c r="E32" s="14" t="n"/>
    </row>
    <row r="33" ht="15" customHeight="1" s="12">
      <c r="A33" s="16" t="n"/>
      <c r="B33" s="14" t="n"/>
      <c r="C33" s="14" t="n"/>
      <c r="D33" s="14" t="n"/>
      <c r="E33" s="14" t="n"/>
    </row>
    <row r="34" ht="15" customHeight="1" s="12">
      <c r="A34" s="16" t="n"/>
      <c r="B34" s="14" t="n"/>
      <c r="C34" s="14" t="n"/>
      <c r="D34" s="14" t="n"/>
      <c r="E34" s="14" t="n"/>
    </row>
    <row r="35" ht="15" customHeight="1" s="12">
      <c r="A35" s="16" t="n"/>
      <c r="B35" s="14" t="n"/>
      <c r="C35" s="14" t="n"/>
      <c r="D35" s="14" t="n"/>
      <c r="E35" s="14" t="n"/>
    </row>
    <row r="36" ht="15" customHeight="1" s="12">
      <c r="A36" s="16" t="n"/>
      <c r="B36" s="14" t="n"/>
      <c r="C36" s="14" t="n"/>
      <c r="D36" s="14" t="n"/>
      <c r="E36" s="14" t="n"/>
    </row>
    <row r="37" ht="15" customHeight="1" s="12">
      <c r="A37" s="16" t="n"/>
      <c r="B37" s="14" t="n"/>
      <c r="C37" s="14" t="n"/>
      <c r="D37" s="14" t="n"/>
      <c r="E37" s="14" t="n"/>
    </row>
    <row r="38" ht="15" customHeight="1" s="12">
      <c r="A38" s="16" t="n"/>
      <c r="B38" s="14" t="n"/>
      <c r="C38" s="14" t="n"/>
      <c r="D38" s="14" t="n"/>
      <c r="E38" s="14" t="n"/>
    </row>
    <row r="39" ht="15" customHeight="1" s="12">
      <c r="A39" s="16" t="n"/>
      <c r="B39" s="14" t="n"/>
      <c r="C39" s="14" t="n"/>
      <c r="D39" s="14" t="n"/>
      <c r="E39" s="14" t="n"/>
    </row>
    <row r="40" ht="15" customHeight="1" s="12">
      <c r="A40" s="16" t="n"/>
      <c r="B40" s="14" t="n"/>
      <c r="C40" s="14" t="n"/>
      <c r="D40" s="14" t="n"/>
      <c r="E40" s="14" t="n"/>
    </row>
    <row r="41" ht="15" customHeight="1" s="12">
      <c r="A41" s="16" t="n"/>
      <c r="B41" s="14" t="n"/>
      <c r="C41" s="14" t="n"/>
      <c r="D41" s="14" t="n"/>
      <c r="E41" s="14" t="n"/>
    </row>
    <row r="42" ht="15" customHeight="1" s="12">
      <c r="A42" s="16" t="n"/>
      <c r="B42" s="14" t="n"/>
      <c r="C42" s="14" t="n"/>
      <c r="D42" s="14" t="n"/>
      <c r="E42" s="14" t="n"/>
    </row>
    <row r="43" ht="15" customHeight="1" s="12">
      <c r="A43" s="16" t="n"/>
      <c r="B43" s="14" t="n"/>
      <c r="C43" s="14" t="n"/>
      <c r="D43" s="14" t="n"/>
      <c r="E43" s="14" t="n"/>
    </row>
    <row r="44" ht="15" customHeight="1" s="12">
      <c r="A44" s="16" t="n"/>
      <c r="B44" s="14" t="n"/>
      <c r="C44" s="14" t="n"/>
      <c r="D44" s="14" t="n"/>
      <c r="E44" s="14" t="n"/>
    </row>
    <row r="45" ht="15" customHeight="1" s="12">
      <c r="A45" s="16" t="n"/>
      <c r="B45" s="14" t="n"/>
      <c r="C45" s="14" t="n"/>
      <c r="D45" s="14" t="n"/>
      <c r="E45" s="14" t="n"/>
    </row>
    <row r="46" ht="15" customHeight="1" s="12">
      <c r="A46" s="16" t="n"/>
      <c r="B46" s="14" t="n"/>
      <c r="C46" s="14" t="n"/>
      <c r="D46" s="14" t="n"/>
      <c r="E46" s="14" t="n"/>
    </row>
    <row r="47" ht="15" customHeight="1" s="12">
      <c r="A47" s="16" t="n"/>
      <c r="B47" s="14" t="n"/>
      <c r="C47" s="14" t="n"/>
      <c r="D47" s="14" t="n"/>
      <c r="E47" s="14" t="n"/>
    </row>
    <row r="48" ht="15" customHeight="1" s="12">
      <c r="A48" s="16" t="n"/>
      <c r="B48" s="14" t="n"/>
      <c r="C48" s="14" t="n"/>
      <c r="D48" s="14" t="n"/>
      <c r="E48" s="14" t="n"/>
    </row>
    <row r="49" ht="15" customHeight="1" s="12">
      <c r="A49" s="16" t="n"/>
      <c r="B49" s="14" t="n"/>
      <c r="C49" s="14" t="n"/>
      <c r="D49" s="14" t="n"/>
      <c r="E49" s="14" t="n"/>
    </row>
    <row r="50" ht="15" customHeight="1" s="12">
      <c r="A50" s="16" t="n"/>
      <c r="B50" s="14" t="n"/>
      <c r="C50" s="14" t="n"/>
      <c r="D50" s="14" t="n"/>
      <c r="E50" s="14" t="n"/>
    </row>
    <row r="51" ht="15" customHeight="1" s="12">
      <c r="A51" s="16" t="n"/>
      <c r="B51" s="14" t="n"/>
      <c r="C51" s="14" t="n"/>
      <c r="D51" s="14" t="n"/>
      <c r="E51" s="14" t="n"/>
    </row>
    <row r="52" ht="15" customHeight="1" s="12">
      <c r="A52" s="16" t="n"/>
      <c r="B52" s="14" t="n"/>
      <c r="C52" s="14" t="n"/>
      <c r="D52" s="14" t="n"/>
      <c r="E52" s="14" t="n"/>
    </row>
    <row r="53" ht="15" customHeight="1" s="12">
      <c r="A53" s="16" t="n"/>
      <c r="B53" s="14" t="n"/>
      <c r="C53" s="14" t="n"/>
      <c r="D53" s="14" t="n"/>
      <c r="E53" s="14" t="n"/>
    </row>
    <row r="54" ht="15" customHeight="1" s="12">
      <c r="A54" s="16" t="n"/>
      <c r="B54" s="14" t="n"/>
      <c r="C54" s="14" t="n"/>
      <c r="D54" s="14" t="n"/>
      <c r="E54" s="14" t="n"/>
    </row>
    <row r="55" ht="15" customHeight="1" s="12">
      <c r="A55" s="16" t="n"/>
      <c r="B55" s="14" t="n"/>
      <c r="C55" s="14" t="n"/>
      <c r="D55" s="14" t="n"/>
      <c r="E55" s="14" t="n"/>
    </row>
    <row r="56" ht="15" customHeight="1" s="12">
      <c r="A56" s="16" t="n"/>
      <c r="B56" s="14" t="n"/>
      <c r="C56" s="14" t="n"/>
      <c r="D56" s="14" t="n"/>
      <c r="E56" s="14" t="n"/>
    </row>
    <row r="57" ht="15" customHeight="1" s="12">
      <c r="A57" s="16" t="n"/>
      <c r="B57" s="14" t="n"/>
      <c r="C57" s="14" t="n"/>
      <c r="D57" s="14" t="n"/>
      <c r="E57" s="14" t="n"/>
    </row>
    <row r="58" ht="15" customHeight="1" s="12">
      <c r="A58" s="16" t="n"/>
      <c r="B58" s="14" t="n"/>
      <c r="C58" s="14" t="n"/>
      <c r="D58" s="14" t="n"/>
      <c r="E58" s="14" t="n"/>
    </row>
    <row r="59" ht="15" customHeight="1" s="12">
      <c r="A59" s="16" t="n"/>
      <c r="B59" s="14" t="n"/>
      <c r="C59" s="14" t="n"/>
      <c r="D59" s="14" t="n"/>
      <c r="E59" s="14" t="n"/>
    </row>
    <row r="60" ht="15" customHeight="1" s="12">
      <c r="A60" s="16" t="n"/>
      <c r="B60" s="14" t="n"/>
      <c r="C60" s="14" t="n"/>
      <c r="D60" s="14" t="n"/>
      <c r="E60" s="14" t="n"/>
    </row>
    <row r="61" ht="15" customHeight="1" s="12">
      <c r="A61" s="16" t="n"/>
      <c r="B61" s="14" t="n"/>
      <c r="C61" s="14" t="n"/>
      <c r="D61" s="14" t="n"/>
      <c r="E61" s="14" t="n"/>
    </row>
    <row r="62" ht="15" customHeight="1" s="12">
      <c r="A62" s="16" t="n"/>
      <c r="B62" s="14" t="n"/>
      <c r="C62" s="14" t="n"/>
      <c r="D62" s="14" t="n"/>
      <c r="E62" s="14" t="n"/>
    </row>
    <row r="63" ht="15" customHeight="1" s="12">
      <c r="A63" s="16" t="n"/>
      <c r="B63" s="14" t="n"/>
      <c r="C63" s="14" t="n"/>
      <c r="D63" s="14" t="n"/>
      <c r="E63" s="14" t="n"/>
    </row>
    <row r="64" ht="15" customHeight="1" s="12">
      <c r="A64" s="16" t="n"/>
      <c r="B64" s="14" t="n"/>
      <c r="C64" s="14" t="n"/>
      <c r="D64" s="14" t="n"/>
      <c r="E64" s="14" t="n"/>
    </row>
    <row r="65" ht="15" customHeight="1" s="12">
      <c r="A65" s="16" t="n"/>
      <c r="B65" s="14" t="n"/>
      <c r="C65" s="14" t="n"/>
      <c r="D65" s="14" t="n"/>
      <c r="E65" s="14" t="n"/>
    </row>
    <row r="66" ht="15" customHeight="1" s="12">
      <c r="A66" s="16" t="n"/>
      <c r="B66" s="14" t="n"/>
      <c r="C66" s="14" t="n"/>
      <c r="D66" s="14" t="n"/>
      <c r="E66" s="14" t="n"/>
    </row>
    <row r="67" ht="15" customHeight="1" s="12">
      <c r="A67" s="16" t="n"/>
      <c r="B67" s="14" t="n"/>
      <c r="C67" s="14" t="n"/>
      <c r="D67" s="14" t="n"/>
      <c r="E67" s="14" t="n"/>
    </row>
    <row r="68" ht="15" customHeight="1" s="12">
      <c r="A68" s="16" t="n"/>
      <c r="B68" s="14" t="n"/>
      <c r="C68" s="14" t="n"/>
      <c r="D68" s="14" t="n"/>
      <c r="E68" s="14" t="n"/>
    </row>
    <row r="69" ht="15" customHeight="1" s="12">
      <c r="A69" s="16" t="n"/>
      <c r="B69" s="14" t="n"/>
      <c r="C69" s="14" t="n"/>
      <c r="D69" s="14" t="n"/>
      <c r="E69" s="14" t="n"/>
    </row>
    <row r="70" ht="15" customHeight="1" s="12">
      <c r="A70" s="16" t="n"/>
      <c r="B70" s="14" t="n"/>
      <c r="C70" s="14" t="n"/>
      <c r="D70" s="14" t="n"/>
      <c r="E70" s="14" t="n"/>
    </row>
    <row r="71" ht="15" customHeight="1" s="12">
      <c r="A71" s="16" t="n"/>
      <c r="B71" s="14" t="n"/>
      <c r="C71" s="14" t="n"/>
      <c r="D71" s="14" t="n"/>
      <c r="E71" s="14" t="n"/>
    </row>
    <row r="72" ht="15" customHeight="1" s="12">
      <c r="A72" s="16" t="n"/>
      <c r="B72" s="14" t="n"/>
      <c r="C72" s="14" t="n"/>
      <c r="D72" s="14" t="n"/>
      <c r="E72" s="14" t="n"/>
    </row>
    <row r="73" ht="15" customHeight="1" s="12">
      <c r="A73" s="16" t="n"/>
      <c r="B73" s="14" t="n"/>
      <c r="C73" s="14" t="n"/>
      <c r="D73" s="14" t="n"/>
      <c r="E73" s="14" t="n"/>
    </row>
    <row r="74" ht="15" customHeight="1" s="12">
      <c r="A74" s="16" t="n"/>
      <c r="B74" s="14" t="n"/>
      <c r="C74" s="14" t="n"/>
      <c r="D74" s="14" t="n"/>
      <c r="E74" s="14" t="n"/>
    </row>
    <row r="75" ht="15" customHeight="1" s="12">
      <c r="A75" s="16" t="n"/>
      <c r="B75" s="14" t="n"/>
      <c r="C75" s="14" t="n"/>
      <c r="D75" s="14" t="n"/>
      <c r="E75" s="14" t="n"/>
    </row>
    <row r="76" ht="15" customHeight="1" s="12">
      <c r="A76" s="16" t="n"/>
      <c r="B76" s="14" t="n"/>
      <c r="C76" s="14" t="n"/>
      <c r="D76" s="14" t="n"/>
      <c r="E76" s="14" t="n"/>
    </row>
    <row r="77" ht="15" customHeight="1" s="12">
      <c r="A77" s="16" t="n"/>
      <c r="B77" s="14" t="n"/>
      <c r="C77" s="14" t="n"/>
      <c r="D77" s="14" t="n"/>
      <c r="E77" s="14" t="n"/>
    </row>
    <row r="78" ht="15" customHeight="1" s="12">
      <c r="A78" s="16" t="n"/>
      <c r="B78" s="14" t="n"/>
      <c r="C78" s="14" t="n"/>
      <c r="D78" s="14" t="n"/>
      <c r="E78" s="14" t="n"/>
    </row>
    <row r="79" ht="15" customHeight="1" s="12">
      <c r="A79" s="16" t="n"/>
      <c r="B79" s="14" t="n"/>
      <c r="C79" s="14" t="n"/>
      <c r="D79" s="14" t="n"/>
      <c r="E79" s="14" t="n"/>
    </row>
    <row r="80" ht="15" customHeight="1" s="12">
      <c r="A80" s="16" t="n"/>
      <c r="B80" s="14" t="n"/>
      <c r="C80" s="14" t="n"/>
      <c r="D80" s="14" t="n"/>
      <c r="E80" s="14" t="n"/>
    </row>
    <row r="81" ht="15" customHeight="1" s="12">
      <c r="A81" s="16" t="n"/>
      <c r="B81" s="14" t="n"/>
      <c r="C81" s="14" t="n"/>
      <c r="D81" s="14" t="n"/>
      <c r="E81" s="14" t="n"/>
    </row>
    <row r="82" ht="15" customHeight="1" s="12">
      <c r="A82" s="16" t="n"/>
      <c r="B82" s="14" t="n"/>
      <c r="C82" s="14" t="n"/>
      <c r="D82" s="14" t="n"/>
      <c r="E82" s="14" t="n"/>
    </row>
    <row r="83" ht="15" customHeight="1" s="12">
      <c r="A83" s="16" t="n"/>
      <c r="B83" s="14" t="n"/>
      <c r="C83" s="14" t="n"/>
      <c r="D83" s="14" t="n"/>
      <c r="E83" s="14" t="n"/>
    </row>
    <row r="84" ht="15" customHeight="1" s="12">
      <c r="A84" s="16" t="n"/>
      <c r="B84" s="14" t="n"/>
      <c r="C84" s="14" t="n"/>
      <c r="D84" s="14" t="n"/>
      <c r="E84" s="14" t="n"/>
    </row>
    <row r="85" ht="15" customHeight="1" s="12">
      <c r="A85" s="16" t="n"/>
      <c r="B85" s="14" t="n"/>
      <c r="C85" s="14" t="n"/>
      <c r="D85" s="14" t="n"/>
      <c r="E85" s="14" t="n"/>
    </row>
    <row r="86" ht="15" customHeight="1" s="12">
      <c r="A86" s="16" t="n"/>
      <c r="B86" s="14" t="n"/>
      <c r="C86" s="14" t="n"/>
      <c r="D86" s="14" t="n"/>
      <c r="E86" s="14" t="n"/>
    </row>
    <row r="87" ht="15" customHeight="1" s="12">
      <c r="A87" s="16" t="n"/>
      <c r="B87" s="14" t="n"/>
      <c r="C87" s="14" t="n"/>
      <c r="D87" s="14" t="n"/>
      <c r="E87" s="14" t="n"/>
    </row>
    <row r="88" ht="15" customHeight="1" s="12">
      <c r="A88" s="16" t="n"/>
      <c r="B88" s="14" t="n"/>
      <c r="C88" s="14" t="n"/>
      <c r="D88" s="14" t="n"/>
      <c r="E88" s="14" t="n"/>
    </row>
    <row r="89" ht="15" customHeight="1" s="12">
      <c r="A89" s="16" t="n"/>
      <c r="B89" s="14" t="n"/>
      <c r="C89" s="14" t="n"/>
      <c r="D89" s="14" t="n"/>
      <c r="E89" s="14" t="n"/>
    </row>
    <row r="90" ht="15" customHeight="1" s="12">
      <c r="A90" s="16" t="n"/>
      <c r="B90" s="14" t="n"/>
      <c r="C90" s="14" t="n"/>
      <c r="D90" s="14" t="n"/>
      <c r="E90" s="14" t="n"/>
    </row>
    <row r="91" ht="15" customHeight="1" s="12">
      <c r="A91" s="16" t="n"/>
      <c r="B91" s="14" t="n"/>
      <c r="C91" s="14" t="n"/>
      <c r="D91" s="14" t="n"/>
      <c r="E91" s="14" t="n"/>
    </row>
    <row r="92" ht="15" customHeight="1" s="12">
      <c r="A92" s="16" t="n"/>
      <c r="B92" s="14" t="n"/>
      <c r="C92" s="14" t="n"/>
      <c r="D92" s="14" t="n"/>
      <c r="E92" s="14" t="n"/>
    </row>
    <row r="93" ht="15" customHeight="1" s="12">
      <c r="A93" s="16" t="n"/>
      <c r="B93" s="14" t="n"/>
      <c r="C93" s="14" t="n"/>
      <c r="D93" s="14" t="n"/>
      <c r="E93" s="14" t="n"/>
    </row>
    <row r="94" ht="15" customHeight="1" s="12">
      <c r="A94" s="16" t="n"/>
      <c r="B94" s="14" t="n"/>
      <c r="C94" s="14" t="n"/>
      <c r="D94" s="14" t="n"/>
      <c r="E94" s="14" t="n"/>
    </row>
    <row r="95" ht="15" customHeight="1" s="12">
      <c r="A95" s="16" t="n"/>
      <c r="B95" s="14" t="n"/>
      <c r="C95" s="14" t="n"/>
      <c r="D95" s="14" t="n"/>
      <c r="E95" s="14" t="n"/>
    </row>
    <row r="96" ht="15" customHeight="1" s="12">
      <c r="A96" s="16" t="n"/>
      <c r="B96" s="14" t="n"/>
      <c r="C96" s="14" t="n"/>
      <c r="D96" s="14" t="n"/>
      <c r="E96" s="14" t="n"/>
    </row>
    <row r="97" ht="15" customHeight="1" s="12">
      <c r="A97" s="16" t="n"/>
      <c r="B97" s="14" t="n"/>
      <c r="C97" s="14" t="n"/>
      <c r="D97" s="14" t="n"/>
      <c r="E97" s="14" t="n"/>
    </row>
    <row r="98" ht="15" customHeight="1" s="12">
      <c r="A98" s="16" t="n"/>
      <c r="B98" s="14" t="n"/>
      <c r="C98" s="14" t="n"/>
      <c r="D98" s="14" t="n"/>
      <c r="E98" s="14" t="n"/>
    </row>
    <row r="99" ht="15" customHeight="1" s="12">
      <c r="A99" s="16" t="n"/>
      <c r="B99" s="14" t="n"/>
      <c r="C99" s="14" t="n"/>
      <c r="D99" s="14" t="n"/>
      <c r="E99" s="14" t="n"/>
    </row>
    <row r="100" ht="15" customHeight="1" s="12">
      <c r="A100" s="16" t="n"/>
      <c r="B100" s="14" t="n"/>
      <c r="C100" s="14" t="n"/>
      <c r="D100" s="14" t="n"/>
      <c r="E100" s="14" t="n"/>
    </row>
    <row r="101" ht="15" customHeight="1" s="12">
      <c r="A101" s="16" t="n"/>
      <c r="B101" s="14" t="n"/>
      <c r="C101" s="14" t="n"/>
      <c r="D101" s="14" t="n"/>
      <c r="E101" s="14" t="n"/>
    </row>
    <row r="102" ht="15" customHeight="1" s="12">
      <c r="A102" s="16" t="n"/>
      <c r="B102" s="14" t="n"/>
      <c r="C102" s="14" t="n"/>
      <c r="D102" s="14" t="n"/>
      <c r="E102" s="14" t="n"/>
    </row>
    <row r="103" ht="15" customHeight="1" s="12">
      <c r="A103" s="16" t="n"/>
      <c r="B103" s="14" t="n"/>
      <c r="C103" s="14" t="n"/>
      <c r="D103" s="14" t="n"/>
      <c r="E103" s="14" t="n"/>
    </row>
    <row r="104" ht="15" customHeight="1" s="12">
      <c r="A104" s="16" t="n"/>
      <c r="B104" s="14" t="n"/>
      <c r="C104" s="14" t="n"/>
      <c r="D104" s="14" t="n"/>
      <c r="E104" s="14" t="n"/>
    </row>
    <row r="105" ht="15" customHeight="1" s="12">
      <c r="A105" s="16" t="n"/>
      <c r="B105" s="14" t="n"/>
      <c r="C105" s="14" t="n"/>
      <c r="D105" s="14" t="n"/>
      <c r="E105" s="14" t="n"/>
    </row>
    <row r="106" ht="15" customHeight="1" s="12">
      <c r="A106" s="16" t="n"/>
      <c r="B106" s="14" t="n"/>
      <c r="C106" s="14" t="n"/>
      <c r="D106" s="14" t="n"/>
      <c r="E106" s="14" t="n"/>
    </row>
    <row r="107" ht="15" customHeight="1" s="12">
      <c r="A107" s="16" t="n"/>
      <c r="B107" s="14" t="n"/>
      <c r="C107" s="14" t="n"/>
      <c r="D107" s="14" t="n"/>
      <c r="E107" s="14" t="n"/>
    </row>
    <row r="108" ht="15" customHeight="1" s="12">
      <c r="A108" s="16" t="n"/>
      <c r="B108" s="14" t="n"/>
      <c r="C108" s="14" t="n"/>
      <c r="D108" s="14" t="n"/>
      <c r="E108" s="14" t="n"/>
    </row>
    <row r="109" ht="15" customHeight="1" s="12">
      <c r="A109" s="16" t="n"/>
      <c r="B109" s="14" t="n"/>
      <c r="C109" s="14" t="n"/>
      <c r="D109" s="14" t="n"/>
      <c r="E109" s="14" t="n"/>
    </row>
    <row r="110" ht="15" customHeight="1" s="12">
      <c r="A110" s="16" t="n"/>
      <c r="B110" s="14" t="n"/>
      <c r="C110" s="14" t="n"/>
      <c r="D110" s="14" t="n"/>
      <c r="E110" s="14" t="n"/>
    </row>
    <row r="111" ht="15" customHeight="1" s="12">
      <c r="A111" s="16" t="n"/>
      <c r="B111" s="14" t="n"/>
      <c r="C111" s="14" t="n"/>
      <c r="D111" s="14" t="n"/>
      <c r="E111" s="14" t="n"/>
    </row>
    <row r="112" ht="15" customHeight="1" s="12">
      <c r="A112" s="16" t="n"/>
      <c r="B112" s="14" t="n"/>
      <c r="C112" s="14" t="n"/>
      <c r="D112" s="14" t="n"/>
      <c r="E112" s="14" t="n"/>
    </row>
    <row r="113" ht="15" customHeight="1" s="12">
      <c r="A113" s="16" t="n"/>
      <c r="B113" s="14" t="n"/>
      <c r="C113" s="14" t="n"/>
      <c r="D113" s="14" t="n"/>
      <c r="E113" s="14" t="n"/>
    </row>
    <row r="114" ht="15" customHeight="1" s="12">
      <c r="A114" s="16" t="n"/>
      <c r="B114" s="14" t="n"/>
      <c r="C114" s="14" t="n"/>
      <c r="D114" s="14" t="n"/>
      <c r="E114" s="14" t="n"/>
    </row>
    <row r="115" ht="15" customHeight="1" s="12">
      <c r="A115" s="16" t="n"/>
      <c r="B115" s="14" t="n"/>
      <c r="C115" s="14" t="n"/>
      <c r="D115" s="14" t="n"/>
      <c r="E115" s="14" t="n"/>
    </row>
    <row r="116" ht="15" customHeight="1" s="12">
      <c r="A116" s="16" t="n"/>
      <c r="B116" s="14" t="n"/>
      <c r="C116" s="14" t="n"/>
      <c r="D116" s="14" t="n"/>
      <c r="E116" s="14" t="n"/>
    </row>
    <row r="117" ht="15" customHeight="1" s="12">
      <c r="A117" s="16" t="n"/>
      <c r="B117" s="14" t="n"/>
      <c r="C117" s="14" t="n"/>
      <c r="D117" s="14" t="n"/>
      <c r="E117" s="14" t="n"/>
    </row>
    <row r="118" ht="15" customHeight="1" s="12">
      <c r="A118" s="16" t="n"/>
      <c r="B118" s="14" t="n"/>
      <c r="C118" s="14" t="n"/>
      <c r="D118" s="14" t="n"/>
      <c r="E118" s="14" t="n"/>
    </row>
    <row r="119" ht="15" customHeight="1" s="12">
      <c r="A119" s="16" t="n"/>
      <c r="B119" s="14" t="n"/>
      <c r="C119" s="14" t="n"/>
      <c r="D119" s="14" t="n"/>
      <c r="E119" s="14" t="n"/>
    </row>
    <row r="120" ht="15" customHeight="1" s="12">
      <c r="A120" s="16" t="n"/>
      <c r="B120" s="14" t="n"/>
      <c r="C120" s="14" t="n"/>
      <c r="D120" s="14" t="n"/>
      <c r="E120" s="14" t="n"/>
    </row>
    <row r="121" ht="15" customHeight="1" s="12">
      <c r="A121" s="16" t="n"/>
      <c r="B121" s="14" t="n"/>
      <c r="C121" s="14" t="n"/>
      <c r="D121" s="14" t="n"/>
      <c r="E121" s="14" t="n"/>
    </row>
    <row r="122" ht="15" customHeight="1" s="12">
      <c r="A122" s="16" t="n"/>
      <c r="B122" s="14" t="n"/>
      <c r="C122" s="14" t="n"/>
      <c r="D122" s="14" t="n"/>
      <c r="E122" s="14" t="n"/>
    </row>
    <row r="123" ht="15" customHeight="1" s="12">
      <c r="A123" s="16" t="n"/>
      <c r="B123" s="14" t="n"/>
      <c r="C123" s="14" t="n"/>
      <c r="D123" s="14" t="n"/>
      <c r="E123" s="14" t="n"/>
    </row>
    <row r="124" ht="15" customHeight="1" s="12">
      <c r="A124" s="16" t="n"/>
      <c r="B124" s="14" t="n"/>
      <c r="C124" s="14" t="n"/>
      <c r="D124" s="14" t="n"/>
      <c r="E124" s="14" t="n"/>
    </row>
    <row r="125" ht="15" customHeight="1" s="12">
      <c r="A125" s="16" t="n"/>
      <c r="B125" s="14" t="n"/>
      <c r="C125" s="14" t="n"/>
      <c r="D125" s="14" t="n"/>
      <c r="E125" s="14" t="n"/>
    </row>
    <row r="126" ht="15" customHeight="1" s="12">
      <c r="A126" s="16" t="n"/>
      <c r="B126" s="14" t="n"/>
      <c r="C126" s="14" t="n"/>
      <c r="D126" s="14" t="n"/>
      <c r="E126" s="14" t="n"/>
    </row>
    <row r="127" ht="15" customHeight="1" s="12">
      <c r="A127" s="16" t="n"/>
      <c r="B127" s="14" t="n"/>
      <c r="C127" s="14" t="n"/>
      <c r="D127" s="14" t="n"/>
      <c r="E127" s="14" t="n"/>
    </row>
    <row r="128" ht="15" customHeight="1" s="12">
      <c r="A128" s="16" t="n"/>
      <c r="B128" s="14" t="n"/>
      <c r="C128" s="14" t="n"/>
      <c r="D128" s="14" t="n"/>
      <c r="E128" s="14" t="n"/>
    </row>
    <row r="129" ht="15" customHeight="1" s="12">
      <c r="A129" s="16" t="n"/>
      <c r="B129" s="14" t="n"/>
      <c r="C129" s="14" t="n"/>
      <c r="D129" s="14" t="n"/>
      <c r="E129" s="14" t="n"/>
    </row>
    <row r="130" ht="15" customHeight="1" s="12">
      <c r="A130" s="16" t="n"/>
      <c r="B130" s="14" t="n"/>
      <c r="C130" s="14" t="n"/>
      <c r="D130" s="14" t="n"/>
      <c r="E130" s="14" t="n"/>
    </row>
    <row r="131" ht="15" customHeight="1" s="12">
      <c r="A131" s="16" t="n"/>
      <c r="B131" s="14" t="n"/>
      <c r="C131" s="14" t="n"/>
      <c r="D131" s="14" t="n"/>
      <c r="E131" s="14" t="n"/>
    </row>
    <row r="132" ht="15" customHeight="1" s="12">
      <c r="A132" s="16" t="n"/>
      <c r="B132" s="14" t="n"/>
      <c r="C132" s="14" t="n"/>
      <c r="D132" s="14" t="n"/>
      <c r="E132" s="14" t="n"/>
    </row>
    <row r="133" ht="15" customHeight="1" s="12">
      <c r="A133" s="16" t="n"/>
      <c r="B133" s="14" t="n"/>
      <c r="C133" s="14" t="n"/>
      <c r="D133" s="14" t="n"/>
      <c r="E133" s="14" t="n"/>
    </row>
    <row r="134" ht="15" customHeight="1" s="12">
      <c r="A134" s="16" t="n"/>
      <c r="B134" s="14" t="n"/>
      <c r="C134" s="14" t="n"/>
      <c r="D134" s="14" t="n"/>
      <c r="E134" s="14" t="n"/>
    </row>
    <row r="135" ht="15" customHeight="1" s="12">
      <c r="A135" s="16" t="n"/>
      <c r="B135" s="14" t="n"/>
      <c r="C135" s="14" t="n"/>
      <c r="D135" s="14" t="n"/>
      <c r="E135" s="14" t="n"/>
    </row>
    <row r="136" ht="15" customHeight="1" s="12">
      <c r="A136" s="16" t="n"/>
      <c r="B136" s="14" t="n"/>
      <c r="C136" s="14" t="n"/>
      <c r="D136" s="14" t="n"/>
      <c r="E136" s="14" t="n"/>
    </row>
    <row r="137" ht="15" customHeight="1" s="12">
      <c r="A137" s="16" t="n"/>
      <c r="B137" s="14" t="n"/>
      <c r="C137" s="14" t="n"/>
      <c r="D137" s="14" t="n"/>
      <c r="E137" s="14" t="n"/>
    </row>
    <row r="138" ht="15" customHeight="1" s="12">
      <c r="A138" s="16" t="n"/>
      <c r="B138" s="14" t="n"/>
      <c r="C138" s="14" t="n"/>
      <c r="D138" s="14" t="n"/>
      <c r="E138" s="14" t="n"/>
    </row>
    <row r="139" ht="15" customHeight="1" s="12">
      <c r="A139" s="16" t="n"/>
      <c r="B139" s="14" t="n"/>
      <c r="C139" s="14" t="n"/>
      <c r="D139" s="14" t="n"/>
      <c r="E139" s="14" t="n"/>
    </row>
    <row r="140" ht="15" customHeight="1" s="12">
      <c r="A140" s="16" t="n"/>
      <c r="B140" s="14" t="n"/>
      <c r="C140" s="14" t="n"/>
      <c r="D140" s="14" t="n"/>
      <c r="E140" s="14" t="n"/>
    </row>
    <row r="141" ht="15" customHeight="1" s="12">
      <c r="A141" s="16" t="n"/>
      <c r="B141" s="14" t="n"/>
      <c r="C141" s="14" t="n"/>
      <c r="D141" s="14" t="n"/>
      <c r="E141" s="14" t="n"/>
    </row>
    <row r="142" ht="15" customHeight="1" s="12">
      <c r="A142" s="16" t="n"/>
      <c r="B142" s="14" t="n"/>
      <c r="C142" s="14" t="n"/>
      <c r="D142" s="14" t="n"/>
      <c r="E142" s="14" t="n"/>
    </row>
    <row r="143" ht="15" customHeight="1" s="12">
      <c r="A143" s="16" t="n"/>
      <c r="B143" s="14" t="n"/>
      <c r="C143" s="14" t="n"/>
      <c r="D143" s="14" t="n"/>
      <c r="E143" s="14" t="n"/>
    </row>
    <row r="144" ht="15" customHeight="1" s="12">
      <c r="A144" s="16" t="n"/>
      <c r="B144" s="14" t="n"/>
      <c r="C144" s="14" t="n"/>
      <c r="D144" s="14" t="n"/>
      <c r="E144" s="14" t="n"/>
    </row>
    <row r="145" ht="15" customHeight="1" s="12">
      <c r="A145" s="16" t="n"/>
      <c r="B145" s="14" t="n"/>
      <c r="C145" s="14" t="n"/>
      <c r="D145" s="14" t="n"/>
      <c r="E145" s="14" t="n"/>
    </row>
    <row r="146" ht="15" customHeight="1" s="12">
      <c r="A146" s="16" t="n"/>
      <c r="B146" s="14" t="n"/>
      <c r="C146" s="14" t="n"/>
      <c r="D146" s="14" t="n"/>
      <c r="E146" s="14" t="n"/>
    </row>
    <row r="147" ht="15" customHeight="1" s="12">
      <c r="A147" s="16" t="n"/>
      <c r="B147" s="14" t="n"/>
      <c r="C147" s="14" t="n"/>
      <c r="D147" s="14" t="n"/>
      <c r="E147" s="14" t="n"/>
    </row>
    <row r="148" ht="15" customHeight="1" s="12">
      <c r="A148" s="16" t="n"/>
      <c r="B148" s="14" t="n"/>
      <c r="C148" s="14" t="n"/>
      <c r="D148" s="14" t="n"/>
      <c r="E148" s="14" t="n"/>
    </row>
    <row r="149" ht="15" customHeight="1" s="12">
      <c r="A149" s="16" t="n"/>
      <c r="B149" s="14" t="n"/>
      <c r="C149" s="14" t="n"/>
      <c r="D149" s="14" t="n"/>
      <c r="E149" s="14" t="n"/>
    </row>
    <row r="150" ht="15" customHeight="1" s="12">
      <c r="A150" s="16" t="n"/>
      <c r="B150" s="14" t="n"/>
      <c r="C150" s="14" t="n"/>
      <c r="D150" s="14" t="n"/>
      <c r="E150" s="14" t="n"/>
    </row>
    <row r="151" ht="15" customHeight="1" s="12">
      <c r="A151" s="16" t="n"/>
      <c r="B151" s="14" t="n"/>
      <c r="C151" s="14" t="n"/>
      <c r="D151" s="14" t="n"/>
      <c r="E151" s="14" t="n"/>
    </row>
    <row r="152" ht="15" customHeight="1" s="12">
      <c r="A152" s="16" t="n"/>
      <c r="B152" s="14" t="n"/>
      <c r="C152" s="14" t="n"/>
      <c r="D152" s="14" t="n"/>
      <c r="E152" s="14" t="n"/>
    </row>
    <row r="153" ht="15" customHeight="1" s="12">
      <c r="A153" s="16" t="n"/>
      <c r="B153" s="14" t="n"/>
      <c r="C153" s="14" t="n"/>
      <c r="D153" s="14" t="n"/>
      <c r="E153" s="14" t="n"/>
    </row>
    <row r="154" ht="15" customHeight="1" s="12">
      <c r="A154" s="16" t="n"/>
      <c r="B154" s="14" t="n"/>
      <c r="C154" s="14" t="n"/>
      <c r="D154" s="14" t="n"/>
      <c r="E154" s="14" t="n"/>
    </row>
    <row r="155" ht="15" customHeight="1" s="12">
      <c r="A155" s="16" t="n"/>
      <c r="B155" s="14" t="n"/>
      <c r="C155" s="14" t="n"/>
      <c r="D155" s="14" t="n"/>
      <c r="E155" s="14" t="n"/>
    </row>
    <row r="156" ht="15" customHeight="1" s="12">
      <c r="A156" s="16" t="n"/>
      <c r="B156" s="14" t="n"/>
      <c r="C156" s="14" t="n"/>
      <c r="D156" s="14" t="n"/>
      <c r="E156" s="14" t="n"/>
    </row>
    <row r="157" ht="15" customHeight="1" s="12">
      <c r="A157" s="16" t="n"/>
      <c r="B157" s="14" t="n"/>
      <c r="C157" s="14" t="n"/>
      <c r="D157" s="14" t="n"/>
      <c r="E157" s="14" t="n"/>
    </row>
    <row r="158" ht="15" customHeight="1" s="12">
      <c r="A158" s="16" t="n"/>
      <c r="B158" s="14" t="n"/>
      <c r="C158" s="14" t="n"/>
      <c r="D158" s="14" t="n"/>
      <c r="E158" s="14" t="n"/>
    </row>
    <row r="159" ht="15" customHeight="1" s="12">
      <c r="A159" s="16" t="n"/>
      <c r="B159" s="14" t="n"/>
      <c r="C159" s="14" t="n"/>
      <c r="D159" s="14" t="n"/>
      <c r="E159" s="14" t="n"/>
    </row>
    <row r="160" ht="15" customHeight="1" s="12">
      <c r="A160" s="16" t="n"/>
      <c r="B160" s="14" t="n"/>
      <c r="C160" s="14" t="n"/>
      <c r="D160" s="14" t="n"/>
      <c r="E160" s="14" t="n"/>
    </row>
    <row r="161" ht="15" customHeight="1" s="12">
      <c r="A161" s="16" t="n"/>
      <c r="B161" s="14" t="n"/>
      <c r="C161" s="14" t="n"/>
      <c r="D161" s="14" t="n"/>
      <c r="E161" s="14" t="n"/>
    </row>
    <row r="162" ht="15" customHeight="1" s="12">
      <c r="A162" s="16" t="n"/>
      <c r="B162" s="14" t="n"/>
      <c r="C162" s="14" t="n"/>
      <c r="D162" s="14" t="n"/>
      <c r="E162" s="14" t="n"/>
    </row>
    <row r="163" ht="15" customHeight="1" s="12">
      <c r="A163" s="16" t="n"/>
      <c r="B163" s="14" t="n"/>
      <c r="C163" s="14" t="n"/>
      <c r="D163" s="14" t="n"/>
      <c r="E163" s="14" t="n"/>
    </row>
    <row r="164" ht="15" customHeight="1" s="12">
      <c r="A164" s="16" t="n"/>
      <c r="B164" s="14" t="n"/>
      <c r="C164" s="14" t="n"/>
      <c r="D164" s="14" t="n"/>
      <c r="E164" s="14" t="n"/>
    </row>
    <row r="165" ht="15" customHeight="1" s="12">
      <c r="A165" s="16" t="n"/>
      <c r="B165" s="14" t="n"/>
      <c r="C165" s="14" t="n"/>
      <c r="D165" s="14" t="n"/>
      <c r="E165" s="14" t="n"/>
    </row>
    <row r="166" ht="15" customHeight="1" s="12">
      <c r="A166" s="16" t="n"/>
      <c r="B166" s="14" t="n"/>
      <c r="C166" s="14" t="n"/>
      <c r="D166" s="14" t="n"/>
      <c r="E166" s="14" t="n"/>
    </row>
    <row r="167" ht="15" customHeight="1" s="12">
      <c r="A167" s="16" t="n"/>
      <c r="B167" s="14" t="n"/>
      <c r="C167" s="14" t="n"/>
      <c r="D167" s="14" t="n"/>
      <c r="E167" s="14" t="n"/>
    </row>
    <row r="168" ht="15" customHeight="1" s="12">
      <c r="A168" s="16" t="n"/>
      <c r="B168" s="14" t="n"/>
      <c r="C168" s="14" t="n"/>
      <c r="D168" s="14" t="n"/>
      <c r="E168" s="14" t="n"/>
    </row>
    <row r="169" ht="15" customHeight="1" s="12">
      <c r="A169" s="16" t="n"/>
      <c r="B169" s="14" t="n"/>
      <c r="C169" s="14" t="n"/>
      <c r="D169" s="14" t="n"/>
      <c r="E169" s="14" t="n"/>
    </row>
    <row r="170" ht="15" customHeight="1" s="12">
      <c r="A170" s="16" t="n"/>
      <c r="B170" s="14" t="n"/>
      <c r="C170" s="14" t="n"/>
      <c r="D170" s="14" t="n"/>
      <c r="E170" s="14" t="n"/>
    </row>
    <row r="171" ht="15" customHeight="1" s="12">
      <c r="A171" s="16" t="n"/>
      <c r="B171" s="14" t="n"/>
      <c r="C171" s="14" t="n"/>
      <c r="D171" s="14" t="n"/>
      <c r="E171" s="14" t="n"/>
    </row>
    <row r="172" ht="15" customHeight="1" s="12">
      <c r="A172" s="16" t="n"/>
      <c r="B172" s="14" t="n"/>
      <c r="C172" s="14" t="n"/>
      <c r="D172" s="14" t="n"/>
      <c r="E172" s="14" t="n"/>
    </row>
    <row r="173" ht="15" customHeight="1" s="12">
      <c r="A173" s="16" t="n"/>
      <c r="B173" s="14" t="n"/>
      <c r="C173" s="14" t="n"/>
      <c r="D173" s="14" t="n"/>
      <c r="E173" s="14" t="n"/>
    </row>
    <row r="174" ht="15" customHeight="1" s="12">
      <c r="A174" s="16" t="n"/>
      <c r="B174" s="14" t="n"/>
      <c r="C174" s="14" t="n"/>
      <c r="D174" s="14" t="n"/>
      <c r="E174" s="14" t="n"/>
    </row>
    <row r="175" ht="15" customHeight="1" s="12">
      <c r="A175" s="16" t="n"/>
      <c r="B175" s="14" t="n"/>
      <c r="C175" s="14" t="n"/>
      <c r="D175" s="14" t="n"/>
      <c r="E175" s="14" t="n"/>
    </row>
    <row r="176" ht="15" customHeight="1" s="12">
      <c r="A176" s="16" t="n"/>
      <c r="B176" s="14" t="n"/>
      <c r="C176" s="14" t="n"/>
      <c r="D176" s="14" t="n"/>
      <c r="E176" s="14" t="n"/>
    </row>
    <row r="177" ht="15" customHeight="1" s="12">
      <c r="A177" s="16" t="n"/>
      <c r="B177" s="14" t="n"/>
      <c r="C177" s="14" t="n"/>
      <c r="D177" s="14" t="n"/>
      <c r="E177" s="14" t="n"/>
    </row>
    <row r="178" ht="15" customHeight="1" s="12">
      <c r="A178" s="16" t="n"/>
      <c r="B178" s="14" t="n"/>
      <c r="C178" s="14" t="n"/>
      <c r="D178" s="14" t="n"/>
      <c r="E178" s="14" t="n"/>
    </row>
    <row r="179" ht="15" customHeight="1" s="12">
      <c r="A179" s="16" t="n"/>
      <c r="B179" s="14" t="n"/>
      <c r="C179" s="14" t="n"/>
      <c r="D179" s="14" t="n"/>
      <c r="E179" s="14" t="n"/>
    </row>
    <row r="180" ht="15" customHeight="1" s="12">
      <c r="A180" s="16" t="n"/>
      <c r="B180" s="14" t="n"/>
      <c r="C180" s="14" t="n"/>
      <c r="D180" s="14" t="n"/>
      <c r="E180" s="14" t="n"/>
    </row>
    <row r="181" ht="15" customHeight="1" s="12">
      <c r="A181" s="16" t="n"/>
      <c r="B181" s="14" t="n"/>
      <c r="C181" s="14" t="n"/>
      <c r="D181" s="14" t="n"/>
      <c r="E181" s="14" t="n"/>
    </row>
    <row r="182" ht="15" customHeight="1" s="12">
      <c r="A182" s="16" t="n"/>
      <c r="B182" s="14" t="n"/>
      <c r="C182" s="14" t="n"/>
      <c r="D182" s="14" t="n"/>
      <c r="E182" s="14" t="n"/>
    </row>
    <row r="183" ht="15" customHeight="1" s="12">
      <c r="A183" s="16" t="n"/>
      <c r="B183" s="14" t="n"/>
      <c r="C183" s="14" t="n"/>
      <c r="D183" s="14" t="n"/>
      <c r="E183" s="14" t="n"/>
    </row>
    <row r="184" ht="15" customHeight="1" s="12">
      <c r="A184" s="16" t="n"/>
      <c r="B184" s="14" t="n"/>
      <c r="C184" s="14" t="n"/>
      <c r="D184" s="14" t="n"/>
      <c r="E184" s="14" t="n"/>
    </row>
    <row r="185" ht="15" customHeight="1" s="12">
      <c r="A185" s="16" t="n"/>
      <c r="B185" s="14" t="n"/>
      <c r="C185" s="14" t="n"/>
      <c r="D185" s="14" t="n"/>
      <c r="E185" s="14" t="n"/>
    </row>
    <row r="186" ht="15" customHeight="1" s="12">
      <c r="A186" s="16" t="n"/>
      <c r="B186" s="14" t="n"/>
      <c r="C186" s="14" t="n"/>
      <c r="D186" s="14" t="n"/>
      <c r="E186" s="14" t="n"/>
    </row>
    <row r="187" ht="15" customHeight="1" s="12">
      <c r="A187" s="16" t="n"/>
      <c r="B187" s="14" t="n"/>
      <c r="C187" s="14" t="n"/>
      <c r="D187" s="14" t="n"/>
      <c r="E187" s="14" t="n"/>
    </row>
    <row r="188" ht="15" customHeight="1" s="12">
      <c r="A188" s="16" t="n"/>
      <c r="B188" s="14" t="n"/>
      <c r="C188" s="14" t="n"/>
      <c r="D188" s="14" t="n"/>
      <c r="E188" s="14" t="n"/>
    </row>
    <row r="189" ht="15" customHeight="1" s="12">
      <c r="A189" s="16" t="n"/>
      <c r="B189" s="14" t="n"/>
      <c r="C189" s="14" t="n"/>
      <c r="D189" s="14" t="n"/>
      <c r="E189" s="14" t="n"/>
    </row>
    <row r="190" ht="15" customHeight="1" s="12">
      <c r="A190" s="16" t="n"/>
      <c r="B190" s="14" t="n"/>
      <c r="C190" s="14" t="n"/>
      <c r="D190" s="14" t="n"/>
      <c r="E190" s="14" t="n"/>
    </row>
    <row r="191" ht="15" customHeight="1" s="12">
      <c r="A191" s="16" t="n"/>
      <c r="B191" s="14" t="n"/>
      <c r="C191" s="14" t="n"/>
      <c r="D191" s="14" t="n"/>
      <c r="E191" s="14" t="n"/>
    </row>
    <row r="192" ht="15" customHeight="1" s="12">
      <c r="A192" s="16" t="n"/>
      <c r="B192" s="14" t="n"/>
      <c r="C192" s="14" t="n"/>
      <c r="D192" s="14" t="n"/>
      <c r="E192" s="14" t="n"/>
    </row>
    <row r="193" ht="15" customHeight="1" s="12">
      <c r="A193" s="16" t="n"/>
      <c r="B193" s="14" t="n"/>
      <c r="C193" s="14" t="n"/>
      <c r="D193" s="14" t="n"/>
      <c r="E193" s="14" t="n"/>
    </row>
    <row r="194" ht="15" customHeight="1" s="12">
      <c r="A194" s="16" t="n"/>
      <c r="B194" s="14" t="n"/>
      <c r="C194" s="14" t="n"/>
      <c r="D194" s="14" t="n"/>
      <c r="E194" s="14" t="n"/>
    </row>
    <row r="195" ht="15" customHeight="1" s="12">
      <c r="A195" s="16" t="n"/>
      <c r="B195" s="14" t="n"/>
      <c r="C195" s="14" t="n"/>
      <c r="D195" s="14" t="n"/>
      <c r="E195" s="14" t="n"/>
    </row>
    <row r="196" ht="15" customHeight="1" s="12">
      <c r="A196" s="16" t="n"/>
      <c r="B196" s="14" t="n"/>
      <c r="C196" s="14" t="n"/>
      <c r="D196" s="14" t="n"/>
      <c r="E196" s="14" t="n"/>
    </row>
    <row r="197" ht="15" customHeight="1" s="12">
      <c r="A197" s="16" t="n"/>
      <c r="B197" s="14" t="n"/>
      <c r="C197" s="14" t="n"/>
      <c r="D197" s="14" t="n"/>
      <c r="E197" s="14" t="n"/>
    </row>
    <row r="198" ht="15" customHeight="1" s="12">
      <c r="A198" s="16" t="n"/>
      <c r="B198" s="14" t="n"/>
      <c r="C198" s="14" t="n"/>
      <c r="D198" s="14" t="n"/>
      <c r="E198" s="14" t="n"/>
    </row>
    <row r="199" ht="15" customHeight="1" s="12">
      <c r="A199" s="16" t="n"/>
      <c r="B199" s="14" t="n"/>
      <c r="C199" s="14" t="n"/>
      <c r="D199" s="14" t="n"/>
      <c r="E199" s="14" t="n"/>
    </row>
    <row r="200" ht="15" customHeight="1" s="12">
      <c r="A200" s="16" t="n"/>
      <c r="B200" s="14" t="n"/>
      <c r="C200" s="14" t="n"/>
      <c r="D200" s="14" t="n"/>
      <c r="E200" s="14" t="n"/>
    </row>
    <row r="201" ht="15" customHeight="1" s="12">
      <c r="A201" s="16" t="n"/>
      <c r="B201" s="14" t="n"/>
      <c r="C201" s="14" t="n"/>
      <c r="D201" s="14" t="n"/>
      <c r="E201" s="14" t="n"/>
    </row>
    <row r="202" ht="15" customHeight="1" s="12">
      <c r="A202" s="16" t="n"/>
      <c r="B202" s="14" t="n"/>
      <c r="C202" s="14" t="n"/>
      <c r="D202" s="14" t="n"/>
      <c r="E202" s="14" t="n"/>
    </row>
    <row r="203" ht="15" customHeight="1" s="12">
      <c r="A203" s="16" t="n"/>
      <c r="B203" s="14" t="n"/>
      <c r="C203" s="14" t="n"/>
      <c r="D203" s="14" t="n"/>
      <c r="E203" s="14" t="n"/>
    </row>
    <row r="204" ht="15" customHeight="1" s="12">
      <c r="A204" s="16" t="n"/>
      <c r="B204" s="14" t="n"/>
      <c r="C204" s="14" t="n"/>
      <c r="D204" s="14" t="n"/>
      <c r="E204" s="14" t="n"/>
    </row>
    <row r="205" ht="15" customHeight="1" s="12">
      <c r="A205" s="16" t="n"/>
      <c r="B205" s="14" t="n"/>
      <c r="C205" s="14" t="n"/>
      <c r="D205" s="14" t="n"/>
      <c r="E205" s="14" t="n"/>
    </row>
    <row r="206" ht="15" customHeight="1" s="12">
      <c r="A206" s="16" t="n"/>
      <c r="B206" s="14" t="n"/>
      <c r="C206" s="14" t="n"/>
      <c r="D206" s="14" t="n"/>
      <c r="E206" s="14" t="n"/>
    </row>
    <row r="207" ht="15" customHeight="1" s="12">
      <c r="A207" s="16" t="n"/>
      <c r="B207" s="14" t="n"/>
      <c r="C207" s="14" t="n"/>
      <c r="D207" s="14" t="n"/>
      <c r="E207" s="14" t="n"/>
    </row>
    <row r="208" ht="15" customHeight="1" s="12">
      <c r="A208" s="16" t="n"/>
      <c r="B208" s="14" t="n"/>
      <c r="C208" s="14" t="n"/>
      <c r="D208" s="14" t="n"/>
      <c r="E208" s="14" t="n"/>
    </row>
    <row r="209" ht="15" customHeight="1" s="12">
      <c r="A209" s="16" t="n"/>
      <c r="B209" s="14" t="n"/>
      <c r="C209" s="14" t="n"/>
      <c r="D209" s="14" t="n"/>
      <c r="E209" s="14" t="n"/>
    </row>
    <row r="210" ht="15" customHeight="1" s="12">
      <c r="A210" s="16" t="n"/>
      <c r="B210" s="14" t="n"/>
      <c r="C210" s="14" t="n"/>
      <c r="D210" s="14" t="n"/>
      <c r="E210" s="14" t="n"/>
    </row>
    <row r="211" ht="15" customHeight="1" s="12">
      <c r="A211" s="16" t="n"/>
      <c r="B211" s="14" t="n"/>
      <c r="C211" s="14" t="n"/>
      <c r="D211" s="14" t="n"/>
      <c r="E211" s="14" t="n"/>
    </row>
    <row r="212" ht="15" customHeight="1" s="12">
      <c r="A212" s="16" t="n"/>
      <c r="B212" s="14" t="n"/>
      <c r="C212" s="14" t="n"/>
      <c r="D212" s="14" t="n"/>
      <c r="E212" s="14" t="n"/>
    </row>
    <row r="213" ht="15" customHeight="1" s="12">
      <c r="A213" s="16" t="n"/>
      <c r="B213" s="14" t="n"/>
      <c r="C213" s="14" t="n"/>
      <c r="D213" s="14" t="n"/>
      <c r="E213" s="14" t="n"/>
    </row>
    <row r="214" ht="15" customHeight="1" s="12">
      <c r="A214" s="16" t="n"/>
      <c r="B214" s="14" t="n"/>
      <c r="C214" s="14" t="n"/>
      <c r="D214" s="14" t="n"/>
      <c r="E214" s="14" t="n"/>
    </row>
    <row r="215" ht="15" customHeight="1" s="12">
      <c r="A215" s="16" t="n"/>
      <c r="B215" s="14" t="n"/>
      <c r="C215" s="14" t="n"/>
      <c r="D215" s="14" t="n"/>
      <c r="E215" s="14" t="n"/>
    </row>
    <row r="216" ht="15" customHeight="1" s="12">
      <c r="A216" s="16" t="n"/>
      <c r="B216" s="14" t="n"/>
      <c r="C216" s="14" t="n"/>
      <c r="D216" s="14" t="n"/>
      <c r="E216" s="14" t="n"/>
    </row>
    <row r="217" ht="15" customHeight="1" s="12">
      <c r="A217" s="16" t="n"/>
      <c r="B217" s="14" t="n"/>
      <c r="C217" s="14" t="n"/>
      <c r="D217" s="14" t="n"/>
      <c r="E217" s="14" t="n"/>
    </row>
    <row r="218" ht="15" customHeight="1" s="12">
      <c r="A218" s="16" t="n"/>
      <c r="B218" s="14" t="n"/>
      <c r="C218" s="14" t="n"/>
      <c r="D218" s="14" t="n"/>
      <c r="E218" s="14" t="n"/>
    </row>
    <row r="219" ht="15" customHeight="1" s="12">
      <c r="A219" s="16" t="n"/>
      <c r="B219" s="14" t="n"/>
      <c r="C219" s="14" t="n"/>
      <c r="D219" s="14" t="n"/>
      <c r="E219" s="14" t="n"/>
    </row>
    <row r="220" ht="15" customHeight="1" s="12">
      <c r="A220" s="16" t="n"/>
      <c r="B220" s="14" t="n"/>
      <c r="C220" s="14" t="n"/>
      <c r="D220" s="14" t="n"/>
      <c r="E220" s="14" t="n"/>
    </row>
    <row r="221" ht="15" customHeight="1" s="12">
      <c r="A221" s="16" t="n"/>
      <c r="B221" s="14" t="n"/>
      <c r="C221" s="14" t="n"/>
      <c r="D221" s="14" t="n"/>
      <c r="E221" s="14" t="n"/>
    </row>
    <row r="222" ht="15" customHeight="1" s="12">
      <c r="A222" s="16" t="n"/>
      <c r="B222" s="14" t="n"/>
      <c r="C222" s="14" t="n"/>
      <c r="D222" s="14" t="n"/>
      <c r="E222" s="14" t="n"/>
    </row>
    <row r="223" ht="15" customHeight="1" s="12">
      <c r="A223" s="16" t="n"/>
      <c r="B223" s="14" t="n"/>
      <c r="C223" s="14" t="n"/>
      <c r="D223" s="14" t="n"/>
      <c r="E223" s="14" t="n"/>
    </row>
    <row r="224" ht="15" customHeight="1" s="12">
      <c r="A224" s="16" t="n"/>
      <c r="B224" s="14" t="n"/>
      <c r="C224" s="14" t="n"/>
      <c r="D224" s="14" t="n"/>
      <c r="E224" s="14" t="n"/>
    </row>
    <row r="225" ht="15" customHeight="1" s="12">
      <c r="A225" s="16" t="n"/>
      <c r="B225" s="14" t="n"/>
      <c r="C225" s="14" t="n"/>
      <c r="D225" s="14" t="n"/>
      <c r="E225" s="14" t="n"/>
    </row>
    <row r="226" ht="15" customHeight="1" s="12">
      <c r="A226" s="16" t="n"/>
      <c r="B226" s="14" t="n"/>
      <c r="C226" s="14" t="n"/>
      <c r="D226" s="14" t="n"/>
      <c r="E226" s="14" t="n"/>
    </row>
    <row r="227" ht="15" customHeight="1" s="12">
      <c r="A227" s="16" t="n"/>
      <c r="B227" s="14" t="n"/>
      <c r="C227" s="14" t="n"/>
      <c r="D227" s="14" t="n"/>
      <c r="E227" s="14" t="n"/>
    </row>
    <row r="228" ht="15" customHeight="1" s="12">
      <c r="A228" s="16" t="n"/>
      <c r="B228" s="14" t="n"/>
      <c r="C228" s="14" t="n"/>
      <c r="D228" s="14" t="n"/>
      <c r="E228" s="14" t="n"/>
    </row>
    <row r="229" ht="15" customHeight="1" s="12">
      <c r="A229" s="16" t="n"/>
      <c r="B229" s="14" t="n"/>
      <c r="C229" s="14" t="n"/>
      <c r="D229" s="14" t="n"/>
      <c r="E229" s="14" t="n"/>
    </row>
    <row r="230" ht="15" customHeight="1" s="12">
      <c r="A230" s="16" t="n"/>
      <c r="B230" s="14" t="n"/>
      <c r="C230" s="14" t="n"/>
      <c r="D230" s="14" t="n"/>
      <c r="E230" s="14" t="n"/>
    </row>
    <row r="231" ht="15" customHeight="1" s="12">
      <c r="A231" s="16" t="n"/>
      <c r="B231" s="14" t="n"/>
      <c r="C231" s="14" t="n"/>
      <c r="D231" s="14" t="n"/>
      <c r="E231" s="14" t="n"/>
    </row>
    <row r="232" ht="15" customHeight="1" s="12">
      <c r="A232" s="16" t="n"/>
      <c r="B232" s="14" t="n"/>
      <c r="C232" s="14" t="n"/>
      <c r="D232" s="14" t="n"/>
      <c r="E232" s="14" t="n"/>
    </row>
    <row r="233" ht="15" customHeight="1" s="12">
      <c r="A233" s="16" t="n"/>
      <c r="B233" s="14" t="n"/>
      <c r="C233" s="14" t="n"/>
      <c r="D233" s="14" t="n"/>
      <c r="E233" s="14" t="n"/>
    </row>
    <row r="234" ht="15" customHeight="1" s="12">
      <c r="A234" s="16" t="n"/>
      <c r="B234" s="14" t="n"/>
      <c r="C234" s="14" t="n"/>
      <c r="D234" s="14" t="n"/>
      <c r="E234" s="14" t="n"/>
    </row>
    <row r="235" ht="15" customHeight="1" s="12">
      <c r="A235" s="16" t="n"/>
      <c r="B235" s="14" t="n"/>
      <c r="C235" s="14" t="n"/>
      <c r="D235" s="14" t="n"/>
      <c r="E235" s="14" t="n"/>
    </row>
    <row r="236" ht="15" customHeight="1" s="12">
      <c r="A236" s="16" t="n"/>
      <c r="B236" s="14" t="n"/>
      <c r="C236" s="14" t="n"/>
      <c r="D236" s="14" t="n"/>
      <c r="E236" s="14" t="n"/>
    </row>
    <row r="237" ht="15" customHeight="1" s="12">
      <c r="A237" s="16" t="n"/>
      <c r="B237" s="14" t="n"/>
      <c r="C237" s="14" t="n"/>
      <c r="D237" s="14" t="n"/>
      <c r="E237" s="14" t="n"/>
    </row>
    <row r="238" ht="15" customHeight="1" s="12">
      <c r="A238" s="16" t="n"/>
      <c r="B238" s="14" t="n"/>
      <c r="C238" s="14" t="n"/>
      <c r="D238" s="14" t="n"/>
      <c r="E238" s="14" t="n"/>
    </row>
    <row r="239" ht="15" customHeight="1" s="12">
      <c r="A239" s="16" t="n"/>
      <c r="B239" s="14" t="n"/>
      <c r="C239" s="14" t="n"/>
      <c r="D239" s="14" t="n"/>
      <c r="E239" s="14" t="n"/>
    </row>
    <row r="240" ht="15" customHeight="1" s="12">
      <c r="A240" s="16" t="n"/>
      <c r="B240" s="14" t="n"/>
      <c r="C240" s="14" t="n"/>
      <c r="D240" s="14" t="n"/>
      <c r="E240" s="14" t="n"/>
    </row>
    <row r="241" ht="15" customHeight="1" s="12">
      <c r="A241" s="16" t="n"/>
      <c r="B241" s="14" t="n"/>
      <c r="C241" s="14" t="n"/>
      <c r="D241" s="14" t="n"/>
      <c r="E241" s="14" t="n"/>
    </row>
    <row r="242" ht="15" customHeight="1" s="12">
      <c r="A242" s="16" t="n"/>
      <c r="B242" s="14" t="n"/>
      <c r="C242" s="14" t="n"/>
      <c r="D242" s="14" t="n"/>
      <c r="E242" s="14" t="n"/>
    </row>
    <row r="243" ht="15" customHeight="1" s="12">
      <c r="A243" s="16" t="n"/>
      <c r="B243" s="14" t="n"/>
      <c r="C243" s="14" t="n"/>
      <c r="D243" s="14" t="n"/>
      <c r="E243" s="14" t="n"/>
    </row>
    <row r="244" ht="15" customHeight="1" s="12">
      <c r="A244" s="16" t="n"/>
      <c r="B244" s="14" t="n"/>
      <c r="C244" s="14" t="n"/>
      <c r="D244" s="14" t="n"/>
      <c r="E244" s="14" t="n"/>
    </row>
    <row r="245" ht="15" customHeight="1" s="12">
      <c r="A245" s="16" t="n"/>
      <c r="B245" s="14" t="n"/>
      <c r="C245" s="14" t="n"/>
      <c r="D245" s="14" t="n"/>
      <c r="E245" s="14" t="n"/>
    </row>
    <row r="246" ht="15" customHeight="1" s="12">
      <c r="A246" s="16" t="n"/>
      <c r="B246" s="14" t="n"/>
      <c r="C246" s="14" t="n"/>
      <c r="D246" s="14" t="n"/>
      <c r="E246" s="14" t="n"/>
    </row>
    <row r="247" ht="15" customHeight="1" s="12">
      <c r="A247" s="16" t="n"/>
      <c r="B247" s="14" t="n"/>
      <c r="C247" s="14" t="n"/>
      <c r="D247" s="14" t="n"/>
      <c r="E247" s="14" t="n"/>
    </row>
    <row r="248" ht="15" customHeight="1" s="12">
      <c r="A248" s="16" t="n"/>
      <c r="B248" s="14" t="n"/>
      <c r="C248" s="14" t="n"/>
      <c r="D248" s="14" t="n"/>
      <c r="E248" s="14" t="n"/>
    </row>
    <row r="249" ht="15" customHeight="1" s="12">
      <c r="A249" s="16" t="n"/>
      <c r="B249" s="14" t="n"/>
      <c r="C249" s="14" t="n"/>
      <c r="D249" s="14" t="n"/>
      <c r="E249" s="14" t="n"/>
    </row>
    <row r="250" ht="15" customHeight="1" s="12">
      <c r="A250" s="16" t="n"/>
      <c r="B250" s="14" t="n"/>
      <c r="C250" s="14" t="n"/>
      <c r="D250" s="14" t="n"/>
      <c r="E250" s="14" t="n"/>
    </row>
    <row r="251" ht="15" customHeight="1" s="12">
      <c r="A251" s="16" t="n"/>
      <c r="B251" s="14" t="n"/>
      <c r="C251" s="14" t="n"/>
      <c r="D251" s="14" t="n"/>
      <c r="E251" s="14" t="n"/>
    </row>
    <row r="252" ht="15" customHeight="1" s="12">
      <c r="A252" s="16" t="n"/>
      <c r="B252" s="14" t="n"/>
      <c r="C252" s="14" t="n"/>
      <c r="D252" s="14" t="n"/>
      <c r="E252" s="14" t="n"/>
    </row>
    <row r="253" ht="15" customHeight="1" s="12">
      <c r="A253" s="16" t="n"/>
      <c r="B253" s="14" t="n"/>
      <c r="C253" s="14" t="n"/>
      <c r="D253" s="14" t="n"/>
      <c r="E253" s="14" t="n"/>
    </row>
    <row r="254" ht="15" customHeight="1" s="12">
      <c r="A254" s="16" t="n"/>
      <c r="B254" s="14" t="n"/>
      <c r="C254" s="14" t="n"/>
      <c r="D254" s="14" t="n"/>
      <c r="E254" s="14" t="n"/>
    </row>
    <row r="255" ht="15" customHeight="1" s="12">
      <c r="A255" s="16" t="n"/>
      <c r="B255" s="14" t="n"/>
      <c r="C255" s="14" t="n"/>
      <c r="D255" s="14" t="n"/>
      <c r="E255" s="14" t="n"/>
    </row>
    <row r="256" ht="15" customHeight="1" s="12">
      <c r="A256" s="16" t="n"/>
      <c r="B256" s="14" t="n"/>
      <c r="C256" s="14" t="n"/>
      <c r="D256" s="14" t="n"/>
      <c r="E256" s="14" t="n"/>
    </row>
    <row r="257" ht="15" customHeight="1" s="12">
      <c r="A257" s="16" t="n"/>
      <c r="B257" s="14" t="n"/>
      <c r="C257" s="14" t="n"/>
      <c r="D257" s="14" t="n"/>
      <c r="E257" s="14" t="n"/>
    </row>
    <row r="258" ht="15" customHeight="1" s="12">
      <c r="A258" s="16" t="n"/>
      <c r="B258" s="14" t="n"/>
      <c r="C258" s="14" t="n"/>
      <c r="D258" s="14" t="n"/>
      <c r="E258" s="14" t="n"/>
    </row>
    <row r="259" ht="15" customHeight="1" s="12">
      <c r="A259" s="16" t="n"/>
      <c r="B259" s="14" t="n"/>
      <c r="C259" s="14" t="n"/>
      <c r="D259" s="14" t="n"/>
      <c r="E259" s="14" t="n"/>
    </row>
    <row r="260" ht="15" customHeight="1" s="12">
      <c r="A260" s="16" t="n"/>
      <c r="B260" s="14" t="n"/>
      <c r="C260" s="14" t="n"/>
      <c r="D260" s="14" t="n"/>
      <c r="E260" s="14" t="n"/>
    </row>
    <row r="261" ht="15" customHeight="1" s="12">
      <c r="A261" s="16" t="n"/>
      <c r="B261" s="14" t="n"/>
      <c r="C261" s="14" t="n"/>
      <c r="D261" s="14" t="n"/>
      <c r="E261" s="14" t="n"/>
    </row>
    <row r="262" ht="15" customHeight="1" s="12">
      <c r="A262" s="16" t="n"/>
      <c r="B262" s="14" t="n"/>
      <c r="C262" s="14" t="n"/>
      <c r="D262" s="14" t="n"/>
      <c r="E262" s="14" t="n"/>
    </row>
    <row r="263" ht="15" customHeight="1" s="12">
      <c r="A263" s="16" t="n"/>
      <c r="B263" s="14" t="n"/>
      <c r="C263" s="14" t="n"/>
      <c r="D263" s="14" t="n"/>
      <c r="E263" s="14" t="n"/>
    </row>
    <row r="264" ht="15" customHeight="1" s="12">
      <c r="A264" s="16" t="n"/>
      <c r="B264" s="14" t="n"/>
      <c r="C264" s="14" t="n"/>
      <c r="D264" s="14" t="n"/>
      <c r="E264" s="14" t="n"/>
    </row>
    <row r="265" ht="15" customHeight="1" s="12">
      <c r="A265" s="16" t="n"/>
      <c r="B265" s="14" t="n"/>
      <c r="C265" s="14" t="n"/>
      <c r="D265" s="14" t="n"/>
      <c r="E265" s="14" t="n"/>
    </row>
    <row r="266" ht="15" customHeight="1" s="12">
      <c r="A266" s="16" t="n"/>
      <c r="B266" s="14" t="n"/>
      <c r="C266" s="14" t="n"/>
      <c r="D266" s="14" t="n"/>
      <c r="E266" s="14" t="n"/>
    </row>
    <row r="267" ht="15" customHeight="1" s="12">
      <c r="A267" s="16" t="n"/>
      <c r="B267" s="14" t="n"/>
      <c r="C267" s="14" t="n"/>
      <c r="D267" s="14" t="n"/>
      <c r="E267" s="14" t="n"/>
    </row>
    <row r="268" ht="15" customHeight="1" s="12">
      <c r="A268" s="16" t="n"/>
      <c r="B268" s="14" t="n"/>
      <c r="C268" s="14" t="n"/>
      <c r="D268" s="14" t="n"/>
      <c r="E268" s="14" t="n"/>
    </row>
    <row r="269" ht="15" customHeight="1" s="12">
      <c r="A269" s="16" t="n"/>
      <c r="B269" s="14" t="n"/>
      <c r="C269" s="14" t="n"/>
      <c r="D269" s="14" t="n"/>
      <c r="E269" s="14" t="n"/>
    </row>
    <row r="270" ht="15" customHeight="1" s="12">
      <c r="A270" s="16" t="n"/>
      <c r="B270" s="14" t="n"/>
      <c r="C270" s="14" t="n"/>
      <c r="D270" s="14" t="n"/>
      <c r="E270" s="14" t="n"/>
    </row>
    <row r="271" ht="15" customHeight="1" s="12">
      <c r="A271" s="16" t="n"/>
      <c r="B271" s="14" t="n"/>
      <c r="C271" s="14" t="n"/>
      <c r="D271" s="14" t="n"/>
      <c r="E271" s="14" t="n"/>
    </row>
    <row r="272" ht="15" customHeight="1" s="12">
      <c r="A272" s="16" t="n"/>
      <c r="B272" s="14" t="n"/>
      <c r="C272" s="14" t="n"/>
      <c r="D272" s="14" t="n"/>
      <c r="E272" s="14" t="n"/>
    </row>
    <row r="273" ht="15" customHeight="1" s="12">
      <c r="A273" s="16" t="n"/>
      <c r="B273" s="14" t="n"/>
      <c r="C273" s="14" t="n"/>
      <c r="D273" s="14" t="n"/>
      <c r="E273" s="14" t="n"/>
    </row>
    <row r="274" ht="15" customHeight="1" s="12">
      <c r="A274" s="16" t="n"/>
      <c r="B274" s="14" t="n"/>
      <c r="C274" s="14" t="n"/>
      <c r="D274" s="14" t="n"/>
      <c r="E274" s="14" t="n"/>
    </row>
    <row r="275" ht="15" customHeight="1" s="12">
      <c r="A275" s="16" t="n"/>
      <c r="B275" s="14" t="n"/>
      <c r="C275" s="14" t="n"/>
      <c r="D275" s="14" t="n"/>
      <c r="E275" s="14" t="n"/>
    </row>
    <row r="276" ht="15" customHeight="1" s="12">
      <c r="A276" s="16" t="n"/>
      <c r="B276" s="14" t="n"/>
      <c r="C276" s="14" t="n"/>
      <c r="D276" s="14" t="n"/>
      <c r="E276" s="14" t="n"/>
    </row>
    <row r="277" ht="15" customHeight="1" s="12">
      <c r="A277" s="16" t="n"/>
      <c r="B277" s="14" t="n"/>
      <c r="C277" s="14" t="n"/>
      <c r="D277" s="14" t="n"/>
      <c r="E277" s="14" t="n"/>
    </row>
    <row r="278" ht="15" customHeight="1" s="12">
      <c r="A278" s="16" t="n"/>
      <c r="B278" s="14" t="n"/>
      <c r="C278" s="14" t="n"/>
      <c r="D278" s="14" t="n"/>
      <c r="E278" s="14" t="n"/>
    </row>
    <row r="279" ht="15" customHeight="1" s="12">
      <c r="A279" s="16" t="n"/>
      <c r="B279" s="14" t="n"/>
      <c r="C279" s="14" t="n"/>
      <c r="D279" s="14" t="n"/>
      <c r="E279" s="14" t="n"/>
    </row>
    <row r="280" ht="15" customHeight="1" s="12">
      <c r="A280" s="16" t="n"/>
      <c r="B280" s="14" t="n"/>
      <c r="C280" s="14" t="n"/>
      <c r="D280" s="14" t="n"/>
      <c r="E280" s="14" t="n"/>
    </row>
    <row r="281" ht="15" customHeight="1" s="12">
      <c r="A281" s="16" t="n"/>
      <c r="B281" s="14" t="n"/>
      <c r="C281" s="14" t="n"/>
      <c r="D281" s="14" t="n"/>
      <c r="E281" s="14" t="n"/>
    </row>
    <row r="282" ht="15" customHeight="1" s="12">
      <c r="A282" s="16" t="n"/>
      <c r="B282" s="14" t="n"/>
      <c r="C282" s="14" t="n"/>
      <c r="D282" s="14" t="n"/>
      <c r="E282" s="14" t="n"/>
    </row>
    <row r="283" ht="15" customHeight="1" s="12">
      <c r="A283" s="16" t="n"/>
      <c r="B283" s="14" t="n"/>
      <c r="C283" s="14" t="n"/>
      <c r="D283" s="14" t="n"/>
      <c r="E283" s="14" t="n"/>
    </row>
    <row r="284" ht="15" customHeight="1" s="12">
      <c r="A284" s="16" t="n"/>
      <c r="B284" s="14" t="n"/>
      <c r="C284" s="14" t="n"/>
      <c r="D284" s="14" t="n"/>
      <c r="E284" s="14" t="n"/>
    </row>
    <row r="285" ht="15" customHeight="1" s="12">
      <c r="A285" s="16" t="n"/>
      <c r="B285" s="14" t="n"/>
      <c r="C285" s="14" t="n"/>
      <c r="D285" s="14" t="n"/>
      <c r="E285" s="14" t="n"/>
    </row>
    <row r="286" ht="15" customHeight="1" s="12">
      <c r="A286" s="16" t="n"/>
      <c r="B286" s="14" t="n"/>
      <c r="C286" s="14" t="n"/>
      <c r="D286" s="14" t="n"/>
      <c r="E286" s="14" t="n"/>
    </row>
    <row r="287" ht="15" customHeight="1" s="12">
      <c r="A287" s="16" t="n"/>
      <c r="B287" s="14" t="n"/>
      <c r="C287" s="14" t="n"/>
      <c r="D287" s="14" t="n"/>
      <c r="E287" s="14" t="n"/>
    </row>
    <row r="288" ht="15" customHeight="1" s="12">
      <c r="A288" s="16" t="n"/>
      <c r="B288" s="14" t="n"/>
      <c r="C288" s="14" t="n"/>
      <c r="D288" s="14" t="n"/>
      <c r="E288" s="14" t="n"/>
    </row>
    <row r="289" ht="15" customHeight="1" s="12">
      <c r="A289" s="16" t="n"/>
      <c r="B289" s="14" t="n"/>
      <c r="C289" s="14" t="n"/>
      <c r="D289" s="14" t="n"/>
      <c r="E289" s="14" t="n"/>
    </row>
    <row r="290" ht="15" customHeight="1" s="12">
      <c r="A290" s="16" t="n"/>
      <c r="B290" s="14" t="n"/>
      <c r="C290" s="14" t="n"/>
      <c r="D290" s="14" t="n"/>
      <c r="E290" s="14" t="n"/>
    </row>
    <row r="291" ht="15" customHeight="1" s="12">
      <c r="A291" s="16" t="n"/>
      <c r="B291" s="14" t="n"/>
      <c r="C291" s="14" t="n"/>
      <c r="D291" s="14" t="n"/>
      <c r="E291" s="14" t="n"/>
    </row>
    <row r="292" ht="15" customHeight="1" s="12">
      <c r="A292" s="16" t="n"/>
      <c r="B292" s="14" t="n"/>
      <c r="C292" s="14" t="n"/>
      <c r="D292" s="14" t="n"/>
      <c r="E292" s="14" t="n"/>
    </row>
    <row r="293" ht="15" customHeight="1" s="12">
      <c r="A293" s="16" t="n"/>
      <c r="B293" s="14" t="n"/>
      <c r="C293" s="14" t="n"/>
      <c r="D293" s="14" t="n"/>
      <c r="E293" s="14" t="n"/>
    </row>
    <row r="294" ht="15" customHeight="1" s="12">
      <c r="A294" s="16" t="n"/>
      <c r="B294" s="14" t="n"/>
      <c r="C294" s="14" t="n"/>
      <c r="D294" s="14" t="n"/>
      <c r="E294" s="14" t="n"/>
    </row>
    <row r="295" ht="15" customHeight="1" s="12">
      <c r="A295" s="16" t="n"/>
      <c r="B295" s="14" t="n"/>
      <c r="C295" s="14" t="n"/>
      <c r="D295" s="14" t="n"/>
      <c r="E295" s="14" t="n"/>
    </row>
    <row r="296" ht="15" customHeight="1" s="12">
      <c r="A296" s="16" t="n"/>
      <c r="B296" s="14" t="n"/>
      <c r="C296" s="14" t="n"/>
      <c r="D296" s="14" t="n"/>
      <c r="E296" s="14" t="n"/>
    </row>
    <row r="297" ht="15" customHeight="1" s="12">
      <c r="A297" s="16" t="n"/>
      <c r="B297" s="14" t="n"/>
      <c r="C297" s="14" t="n"/>
      <c r="D297" s="14" t="n"/>
      <c r="E297" s="14" t="n"/>
    </row>
    <row r="298" ht="15" customHeight="1" s="12">
      <c r="A298" s="16" t="n"/>
      <c r="B298" s="14" t="n"/>
      <c r="C298" s="14" t="n"/>
      <c r="D298" s="14" t="n"/>
      <c r="E298" s="14" t="n"/>
    </row>
    <row r="299" ht="15" customHeight="1" s="12">
      <c r="A299" s="16" t="n"/>
      <c r="B299" s="14" t="n"/>
      <c r="C299" s="14" t="n"/>
      <c r="D299" s="14" t="n"/>
      <c r="E299" s="14" t="n"/>
    </row>
    <row r="300" ht="15" customHeight="1" s="12">
      <c r="A300" s="16" t="n"/>
      <c r="B300" s="14" t="n"/>
      <c r="C300" s="14" t="n"/>
      <c r="D300" s="14" t="n"/>
      <c r="E300" s="14" t="n"/>
    </row>
    <row r="301" ht="15" customHeight="1" s="12">
      <c r="A301" s="16" t="n"/>
      <c r="B301" s="14" t="n"/>
      <c r="C301" s="14" t="n"/>
      <c r="D301" s="14" t="n"/>
      <c r="E301" s="14" t="n"/>
    </row>
    <row r="302" ht="15" customHeight="1" s="12">
      <c r="A302" s="16" t="n"/>
      <c r="B302" s="14" t="n"/>
      <c r="C302" s="14" t="n"/>
      <c r="D302" s="14" t="n"/>
      <c r="E302" s="14" t="n"/>
    </row>
    <row r="303" ht="15" customHeight="1" s="12">
      <c r="A303" s="16" t="n"/>
      <c r="B303" s="14" t="n"/>
      <c r="C303" s="14" t="n"/>
      <c r="D303" s="14" t="n"/>
      <c r="E303" s="14" t="n"/>
    </row>
    <row r="304" ht="15" customHeight="1" s="12">
      <c r="A304" s="16" t="n"/>
      <c r="B304" s="14" t="n"/>
      <c r="C304" s="14" t="n"/>
      <c r="D304" s="14" t="n"/>
      <c r="E304" s="14" t="n"/>
    </row>
    <row r="305" ht="15" customHeight="1" s="12">
      <c r="A305" s="16" t="n"/>
      <c r="B305" s="14" t="n"/>
      <c r="C305" s="14" t="n"/>
      <c r="D305" s="14" t="n"/>
      <c r="E305" s="14" t="n"/>
    </row>
    <row r="306" ht="15" customHeight="1" s="12">
      <c r="A306" s="16" t="n"/>
      <c r="B306" s="14" t="n"/>
      <c r="C306" s="14" t="n"/>
      <c r="D306" s="14" t="n"/>
      <c r="E306" s="14" t="n"/>
    </row>
    <row r="307" ht="15" customHeight="1" s="12">
      <c r="A307" s="16" t="n"/>
      <c r="B307" s="14" t="n"/>
      <c r="C307" s="14" t="n"/>
      <c r="D307" s="14" t="n"/>
      <c r="E307" s="14" t="n"/>
    </row>
    <row r="308" ht="15" customHeight="1" s="12">
      <c r="A308" s="16" t="n"/>
      <c r="B308" s="14" t="n"/>
      <c r="C308" s="14" t="n"/>
      <c r="D308" s="14" t="n"/>
      <c r="E308" s="14" t="n"/>
    </row>
    <row r="309" ht="15" customHeight="1" s="12">
      <c r="A309" s="16" t="n"/>
      <c r="B309" s="14" t="n"/>
      <c r="C309" s="14" t="n"/>
      <c r="D309" s="14" t="n"/>
      <c r="E309" s="14" t="n"/>
    </row>
    <row r="310" ht="15" customHeight="1" s="12">
      <c r="A310" s="16" t="n"/>
      <c r="B310" s="14" t="n"/>
      <c r="C310" s="14" t="n"/>
      <c r="D310" s="14" t="n"/>
      <c r="E310" s="14" t="n"/>
    </row>
    <row r="311" ht="15" customHeight="1" s="12">
      <c r="A311" s="16" t="n"/>
      <c r="B311" s="14" t="n"/>
      <c r="C311" s="14" t="n"/>
      <c r="D311" s="14" t="n"/>
      <c r="E311" s="14" t="n"/>
    </row>
    <row r="312" ht="15" customHeight="1" s="12">
      <c r="A312" s="16" t="n"/>
      <c r="B312" s="14" t="n"/>
      <c r="C312" s="14" t="n"/>
      <c r="D312" s="14" t="n"/>
      <c r="E312" s="14" t="n"/>
    </row>
    <row r="313" ht="15" customHeight="1" s="12">
      <c r="A313" s="16" t="n"/>
      <c r="B313" s="14" t="n"/>
      <c r="C313" s="14" t="n"/>
      <c r="D313" s="14" t="n"/>
      <c r="E313" s="14" t="n"/>
    </row>
    <row r="314" ht="15" customHeight="1" s="12">
      <c r="A314" s="16" t="n"/>
      <c r="B314" s="14" t="n"/>
      <c r="C314" s="14" t="n"/>
      <c r="D314" s="14" t="n"/>
      <c r="E314" s="14" t="n"/>
    </row>
    <row r="315" ht="15" customHeight="1" s="12">
      <c r="A315" s="16" t="n"/>
      <c r="B315" s="14" t="n"/>
      <c r="C315" s="14" t="n"/>
      <c r="D315" s="14" t="n"/>
      <c r="E315" s="14" t="n"/>
    </row>
    <row r="316" ht="15" customHeight="1" s="12">
      <c r="A316" s="16" t="n"/>
      <c r="B316" s="14" t="n"/>
      <c r="C316" s="14" t="n"/>
      <c r="D316" s="14" t="n"/>
      <c r="E316" s="14" t="n"/>
    </row>
    <row r="317" ht="15" customHeight="1" s="12">
      <c r="A317" s="16" t="n"/>
      <c r="B317" s="14" t="n"/>
      <c r="C317" s="14" t="n"/>
      <c r="D317" s="14" t="n"/>
      <c r="E317" s="14" t="n"/>
    </row>
    <row r="318" ht="15" customHeight="1" s="12">
      <c r="A318" s="16" t="n"/>
      <c r="B318" s="14" t="n"/>
      <c r="C318" s="14" t="n"/>
      <c r="D318" s="14" t="n"/>
      <c r="E318" s="14" t="n"/>
    </row>
    <row r="319" ht="15" customHeight="1" s="12">
      <c r="A319" s="16" t="n"/>
      <c r="B319" s="14" t="n"/>
      <c r="C319" s="14" t="n"/>
      <c r="D319" s="14" t="n"/>
      <c r="E319" s="14" t="n"/>
    </row>
    <row r="320" ht="15" customHeight="1" s="12">
      <c r="A320" s="16" t="n"/>
      <c r="B320" s="14" t="n"/>
      <c r="C320" s="14" t="n"/>
      <c r="D320" s="14" t="n"/>
      <c r="E320" s="14" t="n"/>
    </row>
    <row r="321" ht="15" customHeight="1" s="12">
      <c r="A321" s="16" t="n"/>
      <c r="B321" s="14" t="n"/>
      <c r="C321" s="14" t="n"/>
      <c r="D321" s="14" t="n"/>
      <c r="E321" s="14" t="n"/>
    </row>
    <row r="322" ht="15" customHeight="1" s="12">
      <c r="A322" s="16" t="n"/>
      <c r="B322" s="14" t="n"/>
      <c r="C322" s="14" t="n"/>
      <c r="D322" s="14" t="n"/>
      <c r="E322" s="14" t="n"/>
    </row>
    <row r="323" ht="15" customHeight="1" s="12">
      <c r="A323" s="16" t="n"/>
      <c r="B323" s="14" t="n"/>
      <c r="C323" s="14" t="n"/>
      <c r="D323" s="14" t="n"/>
      <c r="E323" s="14" t="n"/>
    </row>
    <row r="324" ht="15" customHeight="1" s="12">
      <c r="A324" s="16" t="n"/>
      <c r="B324" s="14" t="n"/>
      <c r="C324" s="14" t="n"/>
      <c r="D324" s="14" t="n"/>
      <c r="E324" s="14" t="n"/>
    </row>
    <row r="325" ht="15" customHeight="1" s="12">
      <c r="A325" s="16" t="n"/>
      <c r="B325" s="14" t="n"/>
      <c r="C325" s="14" t="n"/>
      <c r="D325" s="14" t="n"/>
      <c r="E325" s="14" t="n"/>
    </row>
    <row r="326" ht="15" customHeight="1" s="12">
      <c r="A326" s="16" t="n"/>
      <c r="B326" s="14" t="n"/>
      <c r="C326" s="14" t="n"/>
      <c r="D326" s="14" t="n"/>
      <c r="E326" s="14" t="n"/>
    </row>
    <row r="327" ht="15" customHeight="1" s="12">
      <c r="A327" s="16" t="n"/>
      <c r="B327" s="14" t="n"/>
      <c r="C327" s="14" t="n"/>
      <c r="D327" s="14" t="n"/>
      <c r="E327" s="14" t="n"/>
    </row>
    <row r="328" ht="15" customHeight="1" s="12">
      <c r="A328" s="16" t="n"/>
      <c r="B328" s="14" t="n"/>
      <c r="C328" s="14" t="n"/>
      <c r="D328" s="14" t="n"/>
      <c r="E328" s="14" t="n"/>
    </row>
    <row r="329" ht="15" customHeight="1" s="12">
      <c r="A329" s="16" t="n"/>
      <c r="B329" s="14" t="n"/>
      <c r="C329" s="14" t="n"/>
      <c r="D329" s="14" t="n"/>
      <c r="E329" s="14" t="n"/>
    </row>
    <row r="330" ht="15" customHeight="1" s="12">
      <c r="A330" s="16" t="n"/>
      <c r="B330" s="14" t="n"/>
      <c r="C330" s="14" t="n"/>
      <c r="D330" s="14" t="n"/>
      <c r="E330" s="14" t="n"/>
    </row>
    <row r="331" ht="15" customHeight="1" s="12">
      <c r="A331" s="16" t="n"/>
      <c r="B331" s="14" t="n"/>
      <c r="C331" s="14" t="n"/>
      <c r="D331" s="14" t="n"/>
      <c r="E331" s="14" t="n"/>
    </row>
    <row r="332" ht="15" customHeight="1" s="12">
      <c r="A332" s="16" t="n"/>
      <c r="B332" s="14" t="n"/>
      <c r="C332" s="14" t="n"/>
      <c r="D332" s="14" t="n"/>
      <c r="E332" s="14" t="n"/>
    </row>
    <row r="333" ht="15" customHeight="1" s="12">
      <c r="A333" s="16" t="n"/>
      <c r="B333" s="14" t="n"/>
      <c r="C333" s="14" t="n"/>
      <c r="D333" s="14" t="n"/>
      <c r="E333" s="14" t="n"/>
    </row>
    <row r="334" ht="15" customHeight="1" s="12">
      <c r="A334" s="16" t="n"/>
      <c r="B334" s="14" t="n"/>
      <c r="C334" s="14" t="n"/>
      <c r="D334" s="14" t="n"/>
      <c r="E334" s="14" t="n"/>
    </row>
    <row r="335" ht="15" customHeight="1" s="12">
      <c r="A335" s="16" t="n"/>
      <c r="B335" s="14" t="n"/>
      <c r="C335" s="14" t="n"/>
      <c r="D335" s="14" t="n"/>
      <c r="E335" s="14" t="n"/>
    </row>
    <row r="336" ht="15" customHeight="1" s="12">
      <c r="A336" s="16" t="n"/>
      <c r="B336" s="14" t="n"/>
      <c r="C336" s="14" t="n"/>
      <c r="D336" s="14" t="n"/>
      <c r="E336" s="14" t="n"/>
    </row>
    <row r="337" ht="15" customHeight="1" s="12">
      <c r="A337" s="16" t="n"/>
      <c r="B337" s="14" t="n"/>
      <c r="C337" s="14" t="n"/>
      <c r="D337" s="14" t="n"/>
      <c r="E337" s="14" t="n"/>
    </row>
    <row r="338" ht="15" customHeight="1" s="12">
      <c r="A338" s="16" t="n"/>
      <c r="B338" s="14" t="n"/>
      <c r="C338" s="14" t="n"/>
      <c r="D338" s="14" t="n"/>
      <c r="E338" s="14" t="n"/>
    </row>
    <row r="339" ht="15" customHeight="1" s="12">
      <c r="A339" s="16" t="n"/>
      <c r="B339" s="14" t="n"/>
      <c r="C339" s="14" t="n"/>
      <c r="D339" s="14" t="n"/>
      <c r="E339" s="14" t="n"/>
    </row>
    <row r="340" ht="15" customHeight="1" s="12">
      <c r="A340" s="16" t="n"/>
      <c r="B340" s="14" t="n"/>
      <c r="C340" s="14" t="n"/>
      <c r="D340" s="14" t="n"/>
      <c r="E340" s="14" t="n"/>
    </row>
    <row r="341" ht="15" customHeight="1" s="12">
      <c r="A341" s="16" t="n"/>
      <c r="B341" s="14" t="n"/>
      <c r="C341" s="14" t="n"/>
      <c r="D341" s="14" t="n"/>
      <c r="E341" s="14" t="n"/>
    </row>
    <row r="342" ht="15" customHeight="1" s="12">
      <c r="A342" s="16" t="n"/>
      <c r="B342" s="14" t="n"/>
      <c r="C342" s="14" t="n"/>
      <c r="D342" s="14" t="n"/>
      <c r="E342" s="14" t="n"/>
    </row>
    <row r="343" ht="15" customHeight="1" s="12">
      <c r="A343" s="16" t="n"/>
      <c r="B343" s="14" t="n"/>
      <c r="C343" s="14" t="n"/>
      <c r="D343" s="14" t="n"/>
      <c r="E343" s="14" t="n"/>
    </row>
    <row r="344" ht="15" customHeight="1" s="12">
      <c r="A344" s="16" t="n"/>
      <c r="B344" s="14" t="n"/>
      <c r="C344" s="14" t="n"/>
      <c r="D344" s="14" t="n"/>
      <c r="E344" s="14" t="n"/>
    </row>
    <row r="345" ht="15" customHeight="1" s="12">
      <c r="A345" s="16" t="n"/>
      <c r="B345" s="14" t="n"/>
      <c r="C345" s="14" t="n"/>
      <c r="D345" s="14" t="n"/>
      <c r="E345" s="14" t="n"/>
    </row>
    <row r="346" ht="15" customHeight="1" s="12">
      <c r="A346" s="16" t="n"/>
      <c r="B346" s="14" t="n"/>
      <c r="C346" s="14" t="n"/>
      <c r="D346" s="14" t="n"/>
      <c r="E346" s="14" t="n"/>
    </row>
    <row r="347" ht="15" customHeight="1" s="12">
      <c r="A347" s="16" t="n"/>
      <c r="B347" s="14" t="n"/>
      <c r="C347" s="14" t="n"/>
      <c r="D347" s="14" t="n"/>
      <c r="E347" s="14" t="n"/>
    </row>
    <row r="348" ht="15" customHeight="1" s="12">
      <c r="A348" s="16" t="n"/>
      <c r="B348" s="14" t="n"/>
      <c r="C348" s="14" t="n"/>
      <c r="D348" s="14" t="n"/>
      <c r="E348" s="14" t="n"/>
    </row>
    <row r="349" ht="15" customHeight="1" s="12">
      <c r="A349" s="16" t="n"/>
      <c r="B349" s="14" t="n"/>
      <c r="C349" s="14" t="n"/>
      <c r="D349" s="14" t="n"/>
      <c r="E349" s="14" t="n"/>
    </row>
    <row r="350" ht="15" customHeight="1" s="12">
      <c r="A350" s="16" t="n"/>
      <c r="B350" s="14" t="n"/>
      <c r="C350" s="14" t="n"/>
      <c r="D350" s="14" t="n"/>
      <c r="E350" s="14" t="n"/>
    </row>
    <row r="351" ht="15" customHeight="1" s="12">
      <c r="A351" s="16" t="n"/>
      <c r="B351" s="14" t="n"/>
      <c r="C351" s="14" t="n"/>
      <c r="D351" s="14" t="n"/>
      <c r="E351" s="14" t="n"/>
    </row>
    <row r="352" ht="15" customHeight="1" s="12">
      <c r="A352" s="16" t="n"/>
      <c r="B352" s="14" t="n"/>
      <c r="C352" s="14" t="n"/>
      <c r="D352" s="14" t="n"/>
      <c r="E352" s="14" t="n"/>
    </row>
    <row r="353" ht="15" customHeight="1" s="12">
      <c r="A353" s="16" t="n"/>
      <c r="B353" s="14" t="n"/>
      <c r="C353" s="14" t="n"/>
      <c r="D353" s="14" t="n"/>
      <c r="E353" s="14" t="n"/>
    </row>
    <row r="354" ht="15" customHeight="1" s="12">
      <c r="A354" s="16" t="n"/>
      <c r="B354" s="14" t="n"/>
      <c r="C354" s="14" t="n"/>
      <c r="D354" s="14" t="n"/>
      <c r="E354" s="14" t="n"/>
    </row>
    <row r="355" ht="15" customHeight="1" s="12">
      <c r="A355" s="16" t="n"/>
      <c r="B355" s="14" t="n"/>
      <c r="C355" s="14" t="n"/>
      <c r="D355" s="14" t="n"/>
      <c r="E355" s="14" t="n"/>
    </row>
    <row r="356" ht="15" customHeight="1" s="12">
      <c r="A356" s="16" t="n"/>
      <c r="B356" s="14" t="n"/>
      <c r="C356" s="14" t="n"/>
      <c r="D356" s="14" t="n"/>
      <c r="E356" s="14" t="n"/>
    </row>
    <row r="357" ht="15" customHeight="1" s="12">
      <c r="A357" s="16" t="n"/>
      <c r="B357" s="14" t="n"/>
      <c r="C357" s="14" t="n"/>
      <c r="D357" s="14" t="n"/>
      <c r="E357" s="14" t="n"/>
    </row>
    <row r="358" ht="15" customHeight="1" s="12">
      <c r="A358" s="16" t="n"/>
      <c r="B358" s="14" t="n"/>
      <c r="C358" s="14" t="n"/>
      <c r="D358" s="14" t="n"/>
      <c r="E358" s="14" t="n"/>
    </row>
    <row r="359" ht="15" customHeight="1" s="12">
      <c r="A359" s="16" t="n"/>
      <c r="B359" s="14" t="n"/>
      <c r="C359" s="14" t="n"/>
      <c r="D359" s="14" t="n"/>
      <c r="E359" s="14" t="n"/>
    </row>
    <row r="360" ht="15" customHeight="1" s="12">
      <c r="A360" s="16" t="n"/>
      <c r="B360" s="14" t="n"/>
      <c r="C360" s="14" t="n"/>
      <c r="D360" s="14" t="n"/>
      <c r="E360" s="14" t="n"/>
    </row>
    <row r="361" ht="15" customHeight="1" s="12">
      <c r="A361" s="16" t="n"/>
      <c r="B361" s="14" t="n"/>
      <c r="C361" s="14" t="n"/>
      <c r="D361" s="14" t="n"/>
      <c r="E361" s="14" t="n"/>
    </row>
    <row r="362" ht="15" customHeight="1" s="12">
      <c r="A362" s="16" t="n"/>
      <c r="B362" s="14" t="n"/>
      <c r="C362" s="14" t="n"/>
      <c r="D362" s="14" t="n"/>
      <c r="E362" s="14" t="n"/>
    </row>
    <row r="363" ht="15" customHeight="1" s="12">
      <c r="A363" s="16" t="n"/>
      <c r="B363" s="14" t="n"/>
      <c r="C363" s="14" t="n"/>
      <c r="D363" s="14" t="n"/>
      <c r="E363" s="14" t="n"/>
    </row>
    <row r="364" ht="15" customHeight="1" s="12">
      <c r="A364" s="16" t="n"/>
      <c r="B364" s="14" t="n"/>
      <c r="C364" s="14" t="n"/>
      <c r="D364" s="14" t="n"/>
      <c r="E364" s="14" t="n"/>
    </row>
    <row r="365" ht="15" customHeight="1" s="12">
      <c r="A365" s="16" t="n"/>
      <c r="B365" s="14" t="n"/>
      <c r="C365" s="14" t="n"/>
      <c r="D365" s="14" t="n"/>
      <c r="E365" s="14" t="n"/>
    </row>
    <row r="366" ht="15" customHeight="1" s="12">
      <c r="A366" s="16" t="n"/>
      <c r="B366" s="14" t="n"/>
      <c r="C366" s="14" t="n"/>
      <c r="D366" s="14" t="n"/>
      <c r="E366" s="14" t="n"/>
    </row>
    <row r="367" ht="15" customHeight="1" s="12">
      <c r="A367" s="16" t="n"/>
      <c r="B367" s="14" t="n"/>
      <c r="C367" s="14" t="n"/>
      <c r="D367" s="14" t="n"/>
      <c r="E367" s="14" t="n"/>
    </row>
    <row r="368" ht="15" customHeight="1" s="12">
      <c r="A368" s="16" t="n"/>
      <c r="B368" s="14" t="n"/>
      <c r="C368" s="14" t="n"/>
      <c r="D368" s="14" t="n"/>
      <c r="E368" s="14" t="n"/>
    </row>
    <row r="369" ht="15" customHeight="1" s="12">
      <c r="A369" s="16" t="n"/>
      <c r="B369" s="14" t="n"/>
      <c r="C369" s="14" t="n"/>
      <c r="D369" s="14" t="n"/>
      <c r="E369" s="14" t="n"/>
    </row>
    <row r="370" ht="15" customHeight="1" s="12">
      <c r="A370" s="16" t="n"/>
      <c r="B370" s="14" t="n"/>
      <c r="C370" s="14" t="n"/>
      <c r="D370" s="14" t="n"/>
      <c r="E370" s="14" t="n"/>
    </row>
    <row r="371" ht="15" customHeight="1" s="12">
      <c r="A371" s="16" t="n"/>
      <c r="B371" s="14" t="n"/>
      <c r="C371" s="14" t="n"/>
      <c r="D371" s="14" t="n"/>
      <c r="E371" s="14" t="n"/>
    </row>
    <row r="372" ht="15" customHeight="1" s="12">
      <c r="A372" s="16" t="n"/>
      <c r="B372" s="14" t="n"/>
      <c r="C372" s="14" t="n"/>
      <c r="D372" s="14" t="n"/>
      <c r="E372" s="14" t="n"/>
    </row>
    <row r="373" ht="15" customHeight="1" s="12">
      <c r="A373" s="16" t="n"/>
      <c r="B373" s="14" t="n"/>
      <c r="C373" s="14" t="n"/>
      <c r="D373" s="14" t="n"/>
      <c r="E373" s="14" t="n"/>
    </row>
    <row r="374" ht="15" customHeight="1" s="12">
      <c r="A374" s="16" t="n"/>
      <c r="B374" s="14" t="n"/>
      <c r="C374" s="14" t="n"/>
      <c r="D374" s="14" t="n"/>
      <c r="E374" s="14" t="n"/>
    </row>
    <row r="375" ht="15" customHeight="1" s="12">
      <c r="A375" s="16" t="n"/>
      <c r="B375" s="14" t="n"/>
      <c r="C375" s="14" t="n"/>
      <c r="D375" s="14" t="n"/>
      <c r="E375" s="14" t="n"/>
    </row>
    <row r="376" ht="15" customHeight="1" s="12">
      <c r="A376" s="16" t="n"/>
      <c r="B376" s="14" t="n"/>
      <c r="C376" s="14" t="n"/>
      <c r="D376" s="14" t="n"/>
      <c r="E376" s="14" t="n"/>
    </row>
    <row r="377" ht="15" customHeight="1" s="12">
      <c r="A377" s="16" t="n"/>
      <c r="B377" s="14" t="n"/>
      <c r="C377" s="14" t="n"/>
      <c r="D377" s="14" t="n"/>
      <c r="E377" s="14" t="n"/>
    </row>
    <row r="378" ht="15" customHeight="1" s="12">
      <c r="A378" s="16" t="n"/>
      <c r="B378" s="14" t="n"/>
      <c r="C378" s="14" t="n"/>
      <c r="D378" s="14" t="n"/>
      <c r="E378" s="14" t="n"/>
    </row>
    <row r="379" ht="15" customHeight="1" s="12">
      <c r="A379" s="16" t="n"/>
      <c r="B379" s="14" t="n"/>
      <c r="C379" s="14" t="n"/>
      <c r="D379" s="14" t="n"/>
      <c r="E379" s="14" t="n"/>
    </row>
    <row r="380" ht="15" customHeight="1" s="12">
      <c r="A380" s="16" t="n"/>
      <c r="B380" s="14" t="n"/>
      <c r="C380" s="14" t="n"/>
      <c r="D380" s="14" t="n"/>
      <c r="E380" s="14" t="n"/>
    </row>
    <row r="381" ht="15" customHeight="1" s="12">
      <c r="A381" s="16" t="n"/>
      <c r="B381" s="14" t="n"/>
      <c r="C381" s="14" t="n"/>
      <c r="D381" s="14" t="n"/>
      <c r="E381" s="14" t="n"/>
    </row>
    <row r="382" ht="15" customHeight="1" s="12">
      <c r="A382" s="16" t="n"/>
      <c r="B382" s="14" t="n"/>
      <c r="C382" s="14" t="n"/>
      <c r="D382" s="14" t="n"/>
      <c r="E382" s="14" t="n"/>
    </row>
    <row r="383" ht="15" customHeight="1" s="12">
      <c r="A383" s="16" t="n"/>
      <c r="B383" s="14" t="n"/>
      <c r="C383" s="14" t="n"/>
      <c r="D383" s="14" t="n"/>
      <c r="E383" s="14" t="n"/>
    </row>
    <row r="384" ht="15" customHeight="1" s="12">
      <c r="A384" s="16" t="n"/>
      <c r="B384" s="14" t="n"/>
      <c r="C384" s="14" t="n"/>
      <c r="D384" s="14" t="n"/>
      <c r="E384" s="14" t="n"/>
    </row>
    <row r="385" ht="15" customHeight="1" s="12">
      <c r="A385" s="16" t="n"/>
      <c r="B385" s="14" t="n"/>
      <c r="C385" s="14" t="n"/>
      <c r="D385" s="14" t="n"/>
      <c r="E385" s="14" t="n"/>
    </row>
    <row r="386" ht="15" customHeight="1" s="12">
      <c r="A386" s="16" t="n"/>
      <c r="B386" s="14" t="n"/>
      <c r="C386" s="14" t="n"/>
      <c r="D386" s="14" t="n"/>
      <c r="E386" s="14" t="n"/>
    </row>
    <row r="387" ht="15" customHeight="1" s="12">
      <c r="A387" s="16" t="n"/>
      <c r="B387" s="14" t="n"/>
      <c r="C387" s="14" t="n"/>
      <c r="D387" s="14" t="n"/>
      <c r="E387" s="14" t="n"/>
    </row>
    <row r="388" ht="15" customHeight="1" s="12">
      <c r="A388" s="16" t="n"/>
      <c r="B388" s="14" t="n"/>
      <c r="C388" s="14" t="n"/>
      <c r="D388" s="14" t="n"/>
      <c r="E388" s="14" t="n"/>
    </row>
    <row r="389" ht="15" customHeight="1" s="12">
      <c r="A389" s="16" t="n"/>
      <c r="B389" s="14" t="n"/>
      <c r="C389" s="14" t="n"/>
      <c r="D389" s="14" t="n"/>
      <c r="E389" s="14" t="n"/>
    </row>
    <row r="390" ht="15" customHeight="1" s="12">
      <c r="A390" s="16" t="n"/>
      <c r="B390" s="14" t="n"/>
      <c r="C390" s="14" t="n"/>
      <c r="D390" s="14" t="n"/>
      <c r="E390" s="14" t="n"/>
    </row>
    <row r="391" ht="15" customHeight="1" s="12">
      <c r="A391" s="16" t="n"/>
      <c r="B391" s="14" t="n"/>
      <c r="C391" s="14" t="n"/>
      <c r="D391" s="14" t="n"/>
      <c r="E391" s="14" t="n"/>
    </row>
    <row r="392" ht="15" customHeight="1" s="12">
      <c r="A392" s="16" t="n"/>
      <c r="B392" s="14" t="n"/>
      <c r="C392" s="14" t="n"/>
      <c r="D392" s="14" t="n"/>
      <c r="E392" s="14" t="n"/>
    </row>
    <row r="393" ht="15" customHeight="1" s="12">
      <c r="A393" s="16" t="n"/>
      <c r="B393" s="14" t="n"/>
      <c r="C393" s="14" t="n"/>
      <c r="D393" s="14" t="n"/>
      <c r="E393" s="14" t="n"/>
    </row>
    <row r="394" ht="15" customHeight="1" s="12">
      <c r="A394" s="16" t="n"/>
      <c r="B394" s="14" t="n"/>
      <c r="C394" s="14" t="n"/>
      <c r="D394" s="14" t="n"/>
      <c r="E394" s="14" t="n"/>
    </row>
    <row r="395" ht="15" customHeight="1" s="12">
      <c r="A395" s="16" t="n"/>
      <c r="B395" s="14" t="n"/>
      <c r="C395" s="14" t="n"/>
      <c r="D395" s="14" t="n"/>
      <c r="E395" s="14" t="n"/>
    </row>
    <row r="396" ht="15" customHeight="1" s="12">
      <c r="A396" s="16" t="n"/>
      <c r="B396" s="14" t="n"/>
      <c r="C396" s="14" t="n"/>
      <c r="D396" s="14" t="n"/>
      <c r="E396" s="14" t="n"/>
    </row>
    <row r="397" ht="15" customHeight="1" s="12">
      <c r="A397" s="16" t="n"/>
      <c r="B397" s="14" t="n"/>
      <c r="C397" s="14" t="n"/>
      <c r="D397" s="14" t="n"/>
      <c r="E397" s="14" t="n"/>
    </row>
    <row r="398" ht="15" customHeight="1" s="12">
      <c r="A398" s="16" t="n"/>
      <c r="B398" s="14" t="n"/>
      <c r="C398" s="14" t="n"/>
      <c r="D398" s="14" t="n"/>
      <c r="E398" s="14" t="n"/>
    </row>
    <row r="399" ht="15" customHeight="1" s="12">
      <c r="A399" s="16" t="n"/>
      <c r="B399" s="14" t="n"/>
      <c r="C399" s="14" t="n"/>
      <c r="D399" s="14" t="n"/>
      <c r="E399" s="14" t="n"/>
    </row>
    <row r="400" ht="15" customHeight="1" s="12">
      <c r="A400" s="16" t="n"/>
      <c r="B400" s="14" t="n"/>
      <c r="C400" s="14" t="n"/>
      <c r="D400" s="14" t="n"/>
      <c r="E400" s="14" t="n"/>
    </row>
    <row r="401" ht="15" customHeight="1" s="12">
      <c r="A401" s="16" t="n"/>
      <c r="B401" s="14" t="n"/>
      <c r="C401" s="14" t="n"/>
      <c r="D401" s="14" t="n"/>
      <c r="E401" s="14" t="n"/>
    </row>
    <row r="402" ht="15" customHeight="1" s="12">
      <c r="A402" s="16" t="n"/>
      <c r="B402" s="14" t="n"/>
      <c r="C402" s="14" t="n"/>
      <c r="D402" s="14" t="n"/>
      <c r="E402" s="14" t="n"/>
    </row>
    <row r="403" ht="15" customHeight="1" s="12">
      <c r="A403" s="16" t="n"/>
      <c r="B403" s="14" t="n"/>
      <c r="C403" s="14" t="n"/>
      <c r="D403" s="14" t="n"/>
      <c r="E403" s="14" t="n"/>
    </row>
    <row r="404" ht="15" customHeight="1" s="12">
      <c r="A404" s="16" t="n"/>
      <c r="B404" s="14" t="n"/>
      <c r="C404" s="14" t="n"/>
      <c r="D404" s="14" t="n"/>
      <c r="E404" s="14" t="n"/>
    </row>
    <row r="405" ht="15" customHeight="1" s="12">
      <c r="A405" s="16" t="n"/>
      <c r="B405" s="14" t="n"/>
      <c r="C405" s="14" t="n"/>
      <c r="D405" s="14" t="n"/>
      <c r="E405" s="14" t="n"/>
    </row>
    <row r="406" ht="15" customHeight="1" s="12">
      <c r="A406" s="16" t="n"/>
      <c r="B406" s="14" t="n"/>
      <c r="C406" s="14" t="n"/>
      <c r="D406" s="14" t="n"/>
      <c r="E406" s="14" t="n"/>
    </row>
    <row r="407" ht="15" customHeight="1" s="12">
      <c r="A407" s="16" t="n"/>
      <c r="B407" s="14" t="n"/>
      <c r="C407" s="14" t="n"/>
      <c r="D407" s="14" t="n"/>
      <c r="E407" s="14" t="n"/>
    </row>
    <row r="408" ht="15" customHeight="1" s="12">
      <c r="A408" s="16" t="n"/>
      <c r="B408" s="14" t="n"/>
      <c r="C408" s="14" t="n"/>
      <c r="D408" s="14" t="n"/>
      <c r="E408" s="14" t="n"/>
    </row>
    <row r="409" ht="15" customHeight="1" s="12">
      <c r="A409" s="16" t="n"/>
      <c r="B409" s="14" t="n"/>
      <c r="C409" s="14" t="n"/>
      <c r="D409" s="14" t="n"/>
      <c r="E409" s="14" t="n"/>
    </row>
    <row r="410" ht="15" customHeight="1" s="12">
      <c r="A410" s="16" t="n"/>
      <c r="B410" s="14" t="n"/>
      <c r="C410" s="14" t="n"/>
      <c r="D410" s="14" t="n"/>
      <c r="E410" s="14" t="n"/>
    </row>
    <row r="411" ht="15" customHeight="1" s="12">
      <c r="A411" s="16" t="n"/>
      <c r="B411" s="14" t="n"/>
      <c r="C411" s="14" t="n"/>
      <c r="D411" s="14" t="n"/>
      <c r="E411" s="14" t="n"/>
    </row>
    <row r="412" ht="15" customHeight="1" s="12">
      <c r="A412" s="16" t="n"/>
      <c r="B412" s="14" t="n"/>
      <c r="C412" s="14" t="n"/>
      <c r="D412" s="14" t="n"/>
      <c r="E412" s="14" t="n"/>
    </row>
    <row r="413" ht="15" customHeight="1" s="12">
      <c r="A413" s="16" t="n"/>
      <c r="B413" s="14" t="n"/>
      <c r="C413" s="14" t="n"/>
      <c r="D413" s="14" t="n"/>
      <c r="E413" s="14" t="n"/>
    </row>
    <row r="414" ht="15" customHeight="1" s="12">
      <c r="A414" s="16" t="n"/>
      <c r="B414" s="14" t="n"/>
      <c r="C414" s="14" t="n"/>
      <c r="D414" s="14" t="n"/>
      <c r="E414" s="14" t="n"/>
    </row>
    <row r="415" ht="15" customHeight="1" s="12">
      <c r="A415" s="16" t="n"/>
      <c r="B415" s="14" t="n"/>
      <c r="C415" s="14" t="n"/>
      <c r="D415" s="14" t="n"/>
      <c r="E415" s="14" t="n"/>
    </row>
    <row r="416" ht="15" customHeight="1" s="12">
      <c r="A416" s="16" t="n"/>
      <c r="B416" s="14" t="n"/>
      <c r="C416" s="14" t="n"/>
      <c r="D416" s="14" t="n"/>
      <c r="E416" s="14" t="n"/>
    </row>
    <row r="417" ht="15" customHeight="1" s="12">
      <c r="A417" s="16" t="n"/>
      <c r="B417" s="14" t="n"/>
      <c r="C417" s="14" t="n"/>
      <c r="D417" s="14" t="n"/>
      <c r="E417" s="14" t="n"/>
    </row>
    <row r="418" ht="15" customHeight="1" s="12">
      <c r="A418" s="16" t="n"/>
      <c r="B418" s="14" t="n"/>
      <c r="C418" s="14" t="n"/>
      <c r="D418" s="14" t="n"/>
      <c r="E418" s="14" t="n"/>
    </row>
    <row r="419" ht="15" customHeight="1" s="12">
      <c r="A419" s="16" t="n"/>
      <c r="B419" s="14" t="n"/>
      <c r="C419" s="14" t="n"/>
      <c r="D419" s="14" t="n"/>
      <c r="E419" s="14" t="n"/>
    </row>
    <row r="420" ht="15" customHeight="1" s="12">
      <c r="A420" s="16" t="n"/>
      <c r="B420" s="14" t="n"/>
      <c r="C420" s="14" t="n"/>
      <c r="D420" s="14" t="n"/>
      <c r="E420" s="14" t="n"/>
    </row>
    <row r="421" ht="15" customHeight="1" s="12">
      <c r="A421" s="16" t="n"/>
      <c r="B421" s="14" t="n"/>
      <c r="C421" s="14" t="n"/>
      <c r="D421" s="14" t="n"/>
      <c r="E421" s="14" t="n"/>
    </row>
    <row r="422" ht="15" customHeight="1" s="12">
      <c r="A422" s="16" t="n"/>
      <c r="B422" s="14" t="n"/>
      <c r="C422" s="14" t="n"/>
      <c r="D422" s="14" t="n"/>
      <c r="E422" s="14" t="n"/>
    </row>
    <row r="423" ht="15" customHeight="1" s="12">
      <c r="A423" s="16" t="n"/>
      <c r="B423" s="14" t="n"/>
      <c r="C423" s="14" t="n"/>
      <c r="D423" s="14" t="n"/>
      <c r="E423" s="14" t="n"/>
    </row>
    <row r="424" ht="15" customHeight="1" s="12">
      <c r="A424" s="16" t="n"/>
      <c r="B424" s="14" t="n"/>
      <c r="C424" s="14" t="n"/>
      <c r="D424" s="14" t="n"/>
      <c r="E424" s="14" t="n"/>
    </row>
    <row r="425" ht="15" customHeight="1" s="12">
      <c r="A425" s="16" t="n"/>
      <c r="B425" s="14" t="n"/>
      <c r="C425" s="14" t="n"/>
      <c r="D425" s="14" t="n"/>
      <c r="E425" s="14" t="n"/>
    </row>
    <row r="426" ht="15" customHeight="1" s="12">
      <c r="A426" s="16" t="n"/>
      <c r="B426" s="14" t="n"/>
      <c r="C426" s="14" t="n"/>
      <c r="D426" s="14" t="n"/>
      <c r="E426" s="14" t="n"/>
    </row>
    <row r="427" ht="15" customHeight="1" s="12">
      <c r="A427" s="16" t="n"/>
      <c r="B427" s="14" t="n"/>
      <c r="C427" s="14" t="n"/>
      <c r="D427" s="14" t="n"/>
      <c r="E427" s="14" t="n"/>
    </row>
    <row r="428" ht="15" customHeight="1" s="12">
      <c r="A428" s="16" t="n"/>
      <c r="B428" s="14" t="n"/>
      <c r="C428" s="14" t="n"/>
      <c r="D428" s="14" t="n"/>
      <c r="E428" s="14" t="n"/>
    </row>
    <row r="429" ht="15" customHeight="1" s="12">
      <c r="A429" s="16" t="n"/>
      <c r="B429" s="14" t="n"/>
      <c r="C429" s="14" t="n"/>
      <c r="D429" s="14" t="n"/>
      <c r="E429" s="14" t="n"/>
    </row>
    <row r="430" ht="15" customHeight="1" s="12">
      <c r="A430" s="16" t="n"/>
      <c r="B430" s="14" t="n"/>
      <c r="C430" s="14" t="n"/>
      <c r="D430" s="14" t="n"/>
      <c r="E430" s="14" t="n"/>
    </row>
    <row r="431" ht="15" customHeight="1" s="12">
      <c r="A431" s="16" t="n"/>
      <c r="B431" s="14" t="n"/>
      <c r="C431" s="14" t="n"/>
      <c r="D431" s="14" t="n"/>
      <c r="E431" s="14" t="n"/>
    </row>
    <row r="432" ht="15" customHeight="1" s="12">
      <c r="A432" s="16" t="n"/>
      <c r="B432" s="14" t="n"/>
      <c r="C432" s="14" t="n"/>
      <c r="D432" s="14" t="n"/>
      <c r="E432" s="14" t="n"/>
    </row>
    <row r="433" ht="15" customHeight="1" s="12">
      <c r="A433" s="16" t="n"/>
      <c r="B433" s="14" t="n"/>
      <c r="C433" s="14" t="n"/>
      <c r="D433" s="14" t="n"/>
      <c r="E433" s="14" t="n"/>
    </row>
    <row r="434" ht="15" customHeight="1" s="12">
      <c r="A434" s="16" t="n"/>
      <c r="B434" s="14" t="n"/>
      <c r="C434" s="14" t="n"/>
      <c r="D434" s="14" t="n"/>
      <c r="E434" s="14" t="n"/>
    </row>
    <row r="435" ht="15" customHeight="1" s="12">
      <c r="A435" s="16" t="n"/>
      <c r="B435" s="14" t="n"/>
      <c r="C435" s="14" t="n"/>
      <c r="D435" s="14" t="n"/>
      <c r="E435" s="14" t="n"/>
    </row>
    <row r="436" ht="15" customHeight="1" s="12">
      <c r="A436" s="16" t="n"/>
      <c r="B436" s="14" t="n"/>
      <c r="C436" s="14" t="n"/>
      <c r="D436" s="14" t="n"/>
      <c r="E436" s="14" t="n"/>
    </row>
    <row r="437" ht="15" customHeight="1" s="12">
      <c r="A437" s="16" t="n"/>
      <c r="B437" s="14" t="n"/>
      <c r="C437" s="14" t="n"/>
      <c r="D437" s="14" t="n"/>
      <c r="E437" s="14" t="n"/>
    </row>
    <row r="438" ht="15" customHeight="1" s="12">
      <c r="A438" s="16" t="n"/>
      <c r="B438" s="14" t="n"/>
      <c r="C438" s="14" t="n"/>
      <c r="D438" s="14" t="n"/>
      <c r="E438" s="14" t="n"/>
    </row>
    <row r="439" ht="15" customHeight="1" s="12">
      <c r="A439" s="16" t="n"/>
      <c r="B439" s="14" t="n"/>
      <c r="C439" s="14" t="n"/>
      <c r="D439" s="14" t="n"/>
      <c r="E439" s="14" t="n"/>
    </row>
    <row r="440" ht="15" customHeight="1" s="12">
      <c r="A440" s="16" t="n"/>
      <c r="B440" s="14" t="n"/>
      <c r="C440" s="14" t="n"/>
      <c r="D440" s="14" t="n"/>
      <c r="E440" s="14" t="n"/>
    </row>
    <row r="441" ht="15" customHeight="1" s="12">
      <c r="A441" s="16" t="n"/>
      <c r="B441" s="14" t="n"/>
      <c r="C441" s="14" t="n"/>
      <c r="D441" s="14" t="n"/>
      <c r="E441" s="14" t="n"/>
    </row>
    <row r="442" ht="15" customHeight="1" s="12">
      <c r="A442" s="16" t="n"/>
      <c r="B442" s="14" t="n"/>
      <c r="C442" s="14" t="n"/>
      <c r="D442" s="14" t="n"/>
      <c r="E442" s="14" t="n"/>
    </row>
    <row r="443" ht="15" customHeight="1" s="12">
      <c r="A443" s="16" t="n"/>
      <c r="B443" s="14" t="n"/>
      <c r="C443" s="14" t="n"/>
      <c r="D443" s="14" t="n"/>
      <c r="E443" s="14" t="n"/>
    </row>
    <row r="444" ht="15" customHeight="1" s="12">
      <c r="A444" s="16" t="n"/>
      <c r="B444" s="14" t="n"/>
      <c r="C444" s="14" t="n"/>
      <c r="D444" s="14" t="n"/>
      <c r="E444" s="14" t="n"/>
    </row>
    <row r="445" ht="15" customHeight="1" s="12">
      <c r="A445" s="16" t="n"/>
      <c r="B445" s="14" t="n"/>
      <c r="C445" s="14" t="n"/>
      <c r="D445" s="14" t="n"/>
      <c r="E445" s="14" t="n"/>
    </row>
    <row r="446" ht="15" customHeight="1" s="12">
      <c r="A446" s="16" t="n"/>
      <c r="B446" s="14" t="n"/>
      <c r="C446" s="14" t="n"/>
      <c r="D446" s="14" t="n"/>
      <c r="E446" s="14" t="n"/>
    </row>
    <row r="447" ht="15" customHeight="1" s="12">
      <c r="A447" s="16" t="n"/>
      <c r="B447" s="14" t="n"/>
      <c r="C447" s="14" t="n"/>
      <c r="D447" s="14" t="n"/>
      <c r="E447" s="14" t="n"/>
    </row>
    <row r="448" ht="15" customHeight="1" s="12">
      <c r="A448" s="16" t="n"/>
      <c r="B448" s="14" t="n"/>
      <c r="C448" s="14" t="n"/>
      <c r="D448" s="14" t="n"/>
      <c r="E448" s="14" t="n"/>
    </row>
    <row r="449" ht="15" customHeight="1" s="12">
      <c r="A449" s="16" t="n"/>
      <c r="B449" s="14" t="n"/>
      <c r="C449" s="14" t="n"/>
      <c r="D449" s="14" t="n"/>
      <c r="E449" s="14" t="n"/>
    </row>
    <row r="450" ht="15" customHeight="1" s="12">
      <c r="A450" s="16" t="n"/>
      <c r="B450" s="14" t="n"/>
      <c r="C450" s="14" t="n"/>
      <c r="D450" s="14" t="n"/>
      <c r="E450" s="14" t="n"/>
    </row>
    <row r="451" ht="15" customHeight="1" s="12">
      <c r="A451" s="16" t="n"/>
      <c r="B451" s="14" t="n"/>
      <c r="C451" s="14" t="n"/>
      <c r="D451" s="14" t="n"/>
      <c r="E451" s="14" t="n"/>
    </row>
    <row r="452" ht="15" customHeight="1" s="12">
      <c r="A452" s="16" t="n"/>
      <c r="B452" s="14" t="n"/>
      <c r="C452" s="14" t="n"/>
      <c r="D452" s="14" t="n"/>
      <c r="E452" s="14" t="n"/>
    </row>
    <row r="453" ht="15" customHeight="1" s="12">
      <c r="A453" s="16" t="n"/>
      <c r="B453" s="14" t="n"/>
      <c r="C453" s="14" t="n"/>
      <c r="D453" s="14" t="n"/>
      <c r="E453" s="14" t="n"/>
    </row>
    <row r="454" ht="15" customHeight="1" s="12">
      <c r="A454" s="16" t="n"/>
      <c r="B454" s="14" t="n"/>
      <c r="C454" s="14" t="n"/>
      <c r="D454" s="14" t="n"/>
      <c r="E454" s="14" t="n"/>
    </row>
    <row r="455" ht="15" customHeight="1" s="12">
      <c r="A455" s="16" t="n"/>
      <c r="B455" s="14" t="n"/>
      <c r="C455" s="14" t="n"/>
      <c r="D455" s="14" t="n"/>
      <c r="E455" s="14" t="n"/>
    </row>
    <row r="456" ht="15" customHeight="1" s="12">
      <c r="A456" s="16" t="n"/>
      <c r="B456" s="14" t="n"/>
      <c r="C456" s="14" t="n"/>
      <c r="D456" s="14" t="n"/>
      <c r="E456" s="14" t="n"/>
    </row>
    <row r="457" ht="15" customHeight="1" s="12">
      <c r="A457" s="16" t="n"/>
      <c r="B457" s="14" t="n"/>
      <c r="C457" s="14" t="n"/>
      <c r="D457" s="14" t="n"/>
      <c r="E457" s="14" t="n"/>
    </row>
    <row r="458" ht="15" customHeight="1" s="12">
      <c r="A458" s="16" t="n"/>
      <c r="B458" s="14" t="n"/>
      <c r="C458" s="14" t="n"/>
      <c r="D458" s="14" t="n"/>
      <c r="E458" s="14" t="n"/>
    </row>
    <row r="459" ht="15" customHeight="1" s="12">
      <c r="A459" s="16" t="n"/>
      <c r="B459" s="14" t="n"/>
      <c r="C459" s="14" t="n"/>
      <c r="D459" s="14" t="n"/>
      <c r="E459" s="14" t="n"/>
    </row>
    <row r="460" ht="15" customHeight="1" s="12">
      <c r="A460" s="16" t="n"/>
      <c r="B460" s="14" t="n"/>
      <c r="C460" s="14" t="n"/>
      <c r="D460" s="14" t="n"/>
      <c r="E460" s="14" t="n"/>
    </row>
    <row r="461" ht="15" customHeight="1" s="12">
      <c r="A461" s="16" t="n"/>
      <c r="B461" s="14" t="n"/>
      <c r="C461" s="14" t="n"/>
      <c r="D461" s="14" t="n"/>
      <c r="E461" s="14" t="n"/>
    </row>
    <row r="462" ht="15" customHeight="1" s="12">
      <c r="A462" s="16" t="n"/>
      <c r="B462" s="14" t="n"/>
      <c r="C462" s="14" t="n"/>
      <c r="D462" s="14" t="n"/>
      <c r="E462" s="14" t="n"/>
    </row>
    <row r="463" ht="15" customHeight="1" s="12">
      <c r="A463" s="16" t="n"/>
      <c r="B463" s="14" t="n"/>
      <c r="C463" s="14" t="n"/>
      <c r="D463" s="14" t="n"/>
      <c r="E463" s="14" t="n"/>
    </row>
    <row r="464" ht="15" customHeight="1" s="12">
      <c r="A464" s="16" t="n"/>
      <c r="B464" s="14" t="n"/>
      <c r="C464" s="14" t="n"/>
      <c r="D464" s="14" t="n"/>
      <c r="E464" s="14" t="n"/>
    </row>
    <row r="465" ht="15" customHeight="1" s="12">
      <c r="A465" s="16" t="n"/>
      <c r="B465" s="14" t="n"/>
      <c r="C465" s="14" t="n"/>
      <c r="D465" s="14" t="n"/>
      <c r="E465" s="14" t="n"/>
    </row>
    <row r="466" ht="15" customHeight="1" s="12">
      <c r="A466" s="16" t="n"/>
      <c r="B466" s="14" t="n"/>
      <c r="C466" s="14" t="n"/>
      <c r="D466" s="14" t="n"/>
      <c r="E466" s="14" t="n"/>
    </row>
    <row r="467" ht="15" customHeight="1" s="12">
      <c r="A467" s="16" t="n"/>
      <c r="B467" s="14" t="n"/>
      <c r="C467" s="14" t="n"/>
      <c r="D467" s="14" t="n"/>
      <c r="E467" s="14" t="n"/>
    </row>
    <row r="468" ht="15" customHeight="1" s="12">
      <c r="A468" s="16" t="n"/>
      <c r="B468" s="14" t="n"/>
      <c r="C468" s="14" t="n"/>
      <c r="D468" s="14" t="n"/>
      <c r="E468" s="14" t="n"/>
    </row>
    <row r="469" ht="15" customHeight="1" s="12">
      <c r="A469" s="16" t="n"/>
      <c r="B469" s="14" t="n"/>
      <c r="C469" s="14" t="n"/>
      <c r="D469" s="14" t="n"/>
      <c r="E469" s="14" t="n"/>
    </row>
    <row r="470" ht="15" customHeight="1" s="12">
      <c r="A470" s="16" t="n"/>
      <c r="B470" s="14" t="n"/>
      <c r="C470" s="14" t="n"/>
      <c r="D470" s="14" t="n"/>
      <c r="E470" s="14" t="n"/>
    </row>
    <row r="471" ht="15" customHeight="1" s="12">
      <c r="A471" s="16" t="n"/>
      <c r="B471" s="14" t="n"/>
      <c r="C471" s="14" t="n"/>
      <c r="D471" s="14" t="n"/>
      <c r="E471" s="14" t="n"/>
    </row>
    <row r="472" ht="15" customHeight="1" s="12">
      <c r="A472" s="16" t="n"/>
      <c r="B472" s="14" t="n"/>
      <c r="C472" s="14" t="n"/>
      <c r="D472" s="14" t="n"/>
      <c r="E472" s="14" t="n"/>
    </row>
    <row r="473" ht="15" customHeight="1" s="12">
      <c r="A473" s="16" t="n"/>
      <c r="B473" s="14" t="n"/>
      <c r="C473" s="14" t="n"/>
      <c r="D473" s="14" t="n"/>
      <c r="E473" s="14" t="n"/>
    </row>
    <row r="474" ht="15" customHeight="1" s="12">
      <c r="A474" s="16" t="n"/>
      <c r="B474" s="14" t="n"/>
      <c r="C474" s="14" t="n"/>
      <c r="D474" s="14" t="n"/>
      <c r="E474" s="14" t="n"/>
    </row>
    <row r="475" ht="15" customHeight="1" s="12">
      <c r="A475" s="16" t="n"/>
      <c r="B475" s="14" t="n"/>
      <c r="C475" s="14" t="n"/>
      <c r="D475" s="14" t="n"/>
      <c r="E475" s="14" t="n"/>
    </row>
    <row r="476" ht="15" customHeight="1" s="12">
      <c r="A476" s="16" t="n"/>
      <c r="B476" s="14" t="n"/>
      <c r="C476" s="14" t="n"/>
      <c r="D476" s="14" t="n"/>
      <c r="E476" s="14" t="n"/>
    </row>
    <row r="477" ht="15" customHeight="1" s="12">
      <c r="A477" s="16" t="n"/>
      <c r="B477" s="14" t="n"/>
      <c r="C477" s="14" t="n"/>
      <c r="D477" s="14" t="n"/>
      <c r="E477" s="14" t="n"/>
    </row>
    <row r="478" ht="15" customHeight="1" s="12">
      <c r="A478" s="16" t="n"/>
      <c r="B478" s="14" t="n"/>
      <c r="C478" s="14" t="n"/>
      <c r="D478" s="14" t="n"/>
      <c r="E478" s="14" t="n"/>
    </row>
    <row r="479" ht="15" customHeight="1" s="12">
      <c r="A479" s="16" t="n"/>
      <c r="B479" s="14" t="n"/>
      <c r="C479" s="14" t="n"/>
      <c r="D479" s="14" t="n"/>
      <c r="E479" s="14" t="n"/>
    </row>
    <row r="480" ht="15" customHeight="1" s="12">
      <c r="A480" s="16" t="n"/>
      <c r="B480" s="14" t="n"/>
      <c r="C480" s="14" t="n"/>
      <c r="D480" s="14" t="n"/>
      <c r="E480" s="14" t="n"/>
    </row>
    <row r="481" ht="15" customHeight="1" s="12">
      <c r="A481" s="16" t="n"/>
      <c r="B481" s="14" t="n"/>
      <c r="C481" s="14" t="n"/>
      <c r="D481" s="14" t="n"/>
      <c r="E481" s="14" t="n"/>
    </row>
    <row r="482" ht="15" customHeight="1" s="12">
      <c r="A482" s="16" t="n"/>
      <c r="B482" s="14" t="n"/>
      <c r="C482" s="14" t="n"/>
      <c r="D482" s="14" t="n"/>
      <c r="E482" s="14" t="n"/>
    </row>
    <row r="483" ht="15" customHeight="1" s="12">
      <c r="A483" s="16" t="n"/>
      <c r="B483" s="14" t="n"/>
      <c r="C483" s="14" t="n"/>
      <c r="D483" s="14" t="n"/>
      <c r="E483" s="14" t="n"/>
    </row>
    <row r="484" ht="15" customHeight="1" s="12">
      <c r="A484" s="16" t="n"/>
      <c r="B484" s="14" t="n"/>
      <c r="C484" s="14" t="n"/>
      <c r="D484" s="14" t="n"/>
      <c r="E484" s="14" t="n"/>
    </row>
    <row r="485" ht="15" customHeight="1" s="12">
      <c r="A485" s="16" t="n"/>
      <c r="B485" s="14" t="n"/>
      <c r="C485" s="14" t="n"/>
      <c r="D485" s="14" t="n"/>
      <c r="E485" s="14" t="n"/>
    </row>
    <row r="486" ht="15" customHeight="1" s="12">
      <c r="A486" s="16" t="n"/>
      <c r="B486" s="14" t="n"/>
      <c r="C486" s="14" t="n"/>
      <c r="D486" s="14" t="n"/>
      <c r="E486" s="14" t="n"/>
    </row>
    <row r="487" ht="15" customHeight="1" s="12">
      <c r="A487" s="16" t="n"/>
      <c r="B487" s="14" t="n"/>
      <c r="C487" s="14" t="n"/>
      <c r="D487" s="14" t="n"/>
      <c r="E487" s="14" t="n"/>
    </row>
    <row r="488" ht="15" customHeight="1" s="12">
      <c r="A488" s="16" t="n"/>
      <c r="B488" s="14" t="n"/>
      <c r="C488" s="14" t="n"/>
      <c r="D488" s="14" t="n"/>
      <c r="E488" s="14" t="n"/>
    </row>
    <row r="489" ht="15" customHeight="1" s="12">
      <c r="A489" s="16" t="n"/>
      <c r="B489" s="14" t="n"/>
      <c r="C489" s="14" t="n"/>
      <c r="D489" s="14" t="n"/>
      <c r="E489" s="14" t="n"/>
    </row>
    <row r="490" ht="15" customHeight="1" s="12">
      <c r="A490" s="16" t="n"/>
      <c r="B490" s="14" t="n"/>
      <c r="C490" s="14" t="n"/>
      <c r="D490" s="14" t="n"/>
      <c r="E490" s="14" t="n"/>
    </row>
    <row r="491" ht="15" customHeight="1" s="12">
      <c r="A491" s="16" t="n"/>
      <c r="B491" s="14" t="n"/>
      <c r="C491" s="14" t="n"/>
      <c r="D491" s="14" t="n"/>
      <c r="E491" s="14" t="n"/>
    </row>
    <row r="492" ht="15" customHeight="1" s="12">
      <c r="A492" s="16" t="n"/>
      <c r="B492" s="14" t="n"/>
      <c r="C492" s="14" t="n"/>
      <c r="D492" s="14" t="n"/>
      <c r="E492" s="14" t="n"/>
    </row>
    <row r="493" ht="15" customHeight="1" s="12">
      <c r="A493" s="16" t="n"/>
      <c r="B493" s="14" t="n"/>
      <c r="C493" s="14" t="n"/>
      <c r="D493" s="14" t="n"/>
      <c r="E493" s="14" t="n"/>
    </row>
    <row r="494" ht="15" customHeight="1" s="12">
      <c r="A494" s="16" t="n"/>
      <c r="B494" s="14" t="n"/>
      <c r="C494" s="14" t="n"/>
      <c r="D494" s="14" t="n"/>
      <c r="E494" s="14" t="n"/>
    </row>
    <row r="495" ht="15" customHeight="1" s="12">
      <c r="A495" s="16" t="n"/>
      <c r="B495" s="14" t="n"/>
      <c r="C495" s="14" t="n"/>
      <c r="D495" s="14" t="n"/>
      <c r="E495" s="14" t="n"/>
    </row>
    <row r="496" ht="15" customHeight="1" s="12">
      <c r="A496" s="16" t="n"/>
      <c r="B496" s="14" t="n"/>
      <c r="C496" s="14" t="n"/>
      <c r="D496" s="14" t="n"/>
      <c r="E496" s="14" t="n"/>
    </row>
    <row r="497" ht="15" customHeight="1" s="12">
      <c r="A497" s="16" t="n"/>
      <c r="B497" s="14" t="n"/>
      <c r="C497" s="14" t="n"/>
      <c r="D497" s="14" t="n"/>
      <c r="E497" s="14" t="n"/>
    </row>
    <row r="498" ht="15" customHeight="1" s="12">
      <c r="A498" s="16" t="n"/>
      <c r="B498" s="14" t="n"/>
      <c r="C498" s="14" t="n"/>
      <c r="D498" s="14" t="n"/>
      <c r="E498" s="14" t="n"/>
    </row>
    <row r="499" ht="15" customHeight="1" s="12">
      <c r="A499" s="16" t="n"/>
      <c r="B499" s="14" t="n"/>
      <c r="C499" s="14" t="n"/>
      <c r="D499" s="14" t="n"/>
      <c r="E499" s="1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3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1" min="1" max="4"/>
    <col width="16" customWidth="1" style="11" min="5" max="6"/>
    <col width="22" customWidth="1" style="11" min="8" max="8"/>
    <col width="40" customWidth="1" style="11" min="10" max="10"/>
  </cols>
  <sheetData>
    <row r="1" ht="15" customHeight="1" s="12">
      <c r="A1" s="13" t="inlineStr">
        <is>
          <t>رقم الشقة</t>
        </is>
      </c>
      <c r="B1" s="13" t="inlineStr">
        <is>
          <t>المطلوب</t>
        </is>
      </c>
      <c r="C1" s="13" t="inlineStr">
        <is>
          <t>المدفوع</t>
        </is>
      </c>
      <c r="D1" s="13" t="inlineStr">
        <is>
          <t>المتبقي</t>
        </is>
      </c>
      <c r="E1" s="13" t="inlineStr">
        <is>
          <t>الحالة</t>
        </is>
      </c>
      <c r="F1" s="13" t="inlineStr">
        <is>
          <t>تنبيه واتساب</t>
        </is>
      </c>
      <c r="H1" s="18" t="inlineStr">
        <is>
          <t>رصيد صندوق الصيانة</t>
        </is>
      </c>
      <c r="J1" s="18" t="inlineStr">
        <is>
          <t>رابط الصفحة</t>
        </is>
      </c>
    </row>
    <row r="2" ht="15" customHeight="1" s="12">
      <c r="A2" s="17">
        <f>IF(Apartments!A2="","",Apartments!A2)</f>
        <v/>
      </c>
      <c r="B2" s="17">
        <f>IF(A2="","",SUMPRODUCT((Items!$A$2:$A$500&lt;&gt;"")*(SUMIFS(Payments!$D$2:$D$5000,Payments!$B$2:$B$5000,$A2,Payments!$C$2:$C$5000,Items!$A$2:$A$500)&lt;Items!$D$2:$D$500)*Items!$D$2:$D$500))</f>
        <v/>
      </c>
      <c r="C2" s="17">
        <f>IF(A2="","",B2-D2)</f>
        <v/>
      </c>
      <c r="D2" s="17">
        <f>IF(A2="","",SUMPRODUCT((Items!$A$2:$A$500&lt;&gt;"")*(SUMIFS(Payments!$D$2:$D$5000,Payments!$B$2:$B$5000,$A2,Payments!$C$2:$C$5000,Items!$A$2:$A$500)&lt;Items!$D$2:$D$500)*(Items!$D$2:$D$500-SUMIFS(Payments!$D$2:$D$5000,Payments!$B$2:$B$5000,$A2,Payments!$C$2:$C$5000,Items!$A$2:$A$500))))</f>
        <v/>
      </c>
      <c r="E2" s="17">
        <f>IF(A2="","",IF(D2&lt;=0,"مدفوع ✅","عليه "&amp;D2))</f>
        <v/>
      </c>
      <c r="F2" s="17">
        <f>IF(A2="","",IF(D2&gt;0,HYPERLINK("https://wa.me/"&amp;Apartments!C2&amp;"?text="&amp;_xlfn.ENCODEURL("السلام عليكم، شقة "&amp;A2&amp;". نشكر لكم مساهمتكم في صندوق عمارة 220 حي القرنفل، فهي استثمار في راحة الجميع وسلامة المبنى. يتبقى من إسهامكم "&amp;D2&amp;" جنيه، ويسعدنا متابعتكم للتفاصيل والمساهمة عبر: "&amp;$J$2),"ارسل تنبيه"),""))</f>
        <v/>
      </c>
      <c r="H2" s="17">
        <f>SUMIF(Payments!E:E,"صندوق",Payments!D:D)-SUM(Expenses!C:C)</f>
        <v/>
      </c>
      <c r="J2" s="19" t="inlineStr">
        <is>
          <t>https://example.github.io/building/</t>
        </is>
      </c>
    </row>
    <row r="3" ht="15" customHeight="1" s="12">
      <c r="A3" s="17">
        <f>IF(Apartments!A3="","",Apartments!A3)</f>
        <v/>
      </c>
      <c r="B3" s="17">
        <f>IF(A3="","",SUMPRODUCT((Items!$A$2:$A$500&lt;&gt;"")*(SUMIFS(Payments!$D$2:$D$5000,Payments!$B$2:$B$5000,$A3,Payments!$C$2:$C$5000,Items!$A$2:$A$500)&lt;Items!$D$2:$D$500)*Items!$D$2:$D$500))</f>
        <v/>
      </c>
      <c r="C3" s="17">
        <f>IF(A3="","",B3-D3)</f>
        <v/>
      </c>
      <c r="D3" s="17">
        <f>IF(A3="","",SUMPRODUCT((Items!$A$2:$A$500&lt;&gt;"")*(SUMIFS(Payments!$D$2:$D$5000,Payments!$B$2:$B$5000,$A3,Payments!$C$2:$C$5000,Items!$A$2:$A$500)&lt;Items!$D$2:$D$500)*(Items!$D$2:$D$500-SUMIFS(Payments!$D$2:$D$5000,Payments!$B$2:$B$5000,$A3,Payments!$C$2:$C$5000,Items!$A$2:$A$500))))</f>
        <v/>
      </c>
      <c r="E3" s="17">
        <f>IF(A3="","",IF(D3&lt;=0,"مدفوع ✅","عليه "&amp;D3))</f>
        <v/>
      </c>
      <c r="F3" s="17">
        <f>IF(A3="","",IF(D3&gt;0,HYPERLINK("https://wa.me/"&amp;Apartments!C3&amp;"?text="&amp;_xlfn.ENCODEURL("السلام عليكم، شقة "&amp;A3&amp;". نشكر لكم مساهمتكم في صندوق عمارة 220 حي القرنفل، فهي استثمار في راحة الجميع وسلامة المبنى. يتبقى من إسهامكم "&amp;D3&amp;" جنيه، ويسعدنا متابعتكم للتفاصيل والمساهمة عبر: "&amp;$J$2),"ارسل تنبيه"),""))</f>
        <v/>
      </c>
    </row>
    <row r="4" ht="15" customHeight="1" s="12">
      <c r="A4" s="17">
        <f>IF(Apartments!A4="","",Apartments!A4)</f>
        <v/>
      </c>
      <c r="B4" s="17">
        <f>IF(A4="","",SUMPRODUCT((Items!$A$2:$A$500&lt;&gt;"")*(SUMIFS(Payments!$D$2:$D$5000,Payments!$B$2:$B$5000,$A4,Payments!$C$2:$C$5000,Items!$A$2:$A$500)&lt;Items!$D$2:$D$500)*Items!$D$2:$D$500))</f>
        <v/>
      </c>
      <c r="C4" s="17">
        <f>IF(A4="","",B4-D4)</f>
        <v/>
      </c>
      <c r="D4" s="17">
        <f>IF(A4="","",SUMPRODUCT((Items!$A$2:$A$500&lt;&gt;"")*(SUMIFS(Payments!$D$2:$D$5000,Payments!$B$2:$B$5000,$A4,Payments!$C$2:$C$5000,Items!$A$2:$A$500)&lt;Items!$D$2:$D$500)*(Items!$D$2:$D$500-SUMIFS(Payments!$D$2:$D$5000,Payments!$B$2:$B$5000,$A4,Payments!$C$2:$C$5000,Items!$A$2:$A$500))))</f>
        <v/>
      </c>
      <c r="E4" s="17">
        <f>IF(A4="","",IF(D4&lt;=0,"مدفوع ✅","عليه "&amp;D4))</f>
        <v/>
      </c>
      <c r="F4" s="17">
        <f>IF(A4="","",IF(D4&gt;0,HYPERLINK("https://wa.me/"&amp;Apartments!C4&amp;"?text="&amp;_xlfn.ENCODEURL("السلام عليكم، شقة "&amp;A4&amp;". نشكر لكم مساهمتكم في صندوق عمارة 220 حي القرنفل، فهي استثمار في راحة الجميع وسلامة المبنى. يتبقى من إسهامكم "&amp;D4&amp;" جنيه، ويسعدنا متابعتكم للتفاصيل والمساهمة عبر: "&amp;$J$2),"ارسل تنبيه"),""))</f>
        <v/>
      </c>
    </row>
    <row r="5" ht="15" customHeight="1" s="12">
      <c r="A5" s="17">
        <f>IF(Apartments!A5="","",Apartments!A5)</f>
        <v/>
      </c>
      <c r="B5" s="17">
        <f>IF(A5="","",SUMPRODUCT((Items!$A$2:$A$500&lt;&gt;"")*(SUMIFS(Payments!$D$2:$D$5000,Payments!$B$2:$B$5000,$A5,Payments!$C$2:$C$5000,Items!$A$2:$A$500)&lt;Items!$D$2:$D$500)*Items!$D$2:$D$500))</f>
        <v/>
      </c>
      <c r="C5" s="17">
        <f>IF(A5="","",B5-D5)</f>
        <v/>
      </c>
      <c r="D5" s="17">
        <f>IF(A5="","",SUMPRODUCT((Items!$A$2:$A$500&lt;&gt;"")*(SUMIFS(Payments!$D$2:$D$5000,Payments!$B$2:$B$5000,$A5,Payments!$C$2:$C$5000,Items!$A$2:$A$500)&lt;Items!$D$2:$D$500)*(Items!$D$2:$D$500-SUMIFS(Payments!$D$2:$D$5000,Payments!$B$2:$B$5000,$A5,Payments!$C$2:$C$5000,Items!$A$2:$A$500))))</f>
        <v/>
      </c>
      <c r="E5" s="17">
        <f>IF(A5="","",IF(D5&lt;=0,"مدفوع ✅","عليه "&amp;D5))</f>
        <v/>
      </c>
      <c r="F5" s="17">
        <f>IF(A5="","",IF(D5&gt;0,HYPERLINK("https://wa.me/"&amp;Apartments!C5&amp;"?text="&amp;_xlfn.ENCODEURL("السلام عليكم، شقة "&amp;A5&amp;". نشكر لكم مساهمتكم في صندوق عمارة 220 حي القرنفل، فهي استثمار في راحة الجميع وسلامة المبنى. يتبقى من إسهامكم "&amp;D5&amp;" جنيه، ويسعدنا متابعتكم للتفاصيل والمساهمة عبر: "&amp;$J$2),"ارسل تنبيه"),""))</f>
        <v/>
      </c>
    </row>
    <row r="6" ht="15" customHeight="1" s="12">
      <c r="A6" s="17">
        <f>IF(Apartments!A6="","",Apartments!A6)</f>
        <v/>
      </c>
      <c r="B6" s="17">
        <f>IF(A6="","",SUMPRODUCT((Items!$A$2:$A$500&lt;&gt;"")*(SUMIFS(Payments!$D$2:$D$5000,Payments!$B$2:$B$5000,$A6,Payments!$C$2:$C$5000,Items!$A$2:$A$500)&lt;Items!$D$2:$D$500)*Items!$D$2:$D$500))</f>
        <v/>
      </c>
      <c r="C6" s="17">
        <f>IF(A6="","",B6-D6)</f>
        <v/>
      </c>
      <c r="D6" s="17">
        <f>IF(A6="","",SUMPRODUCT((Items!$A$2:$A$500&lt;&gt;"")*(SUMIFS(Payments!$D$2:$D$5000,Payments!$B$2:$B$5000,$A6,Payments!$C$2:$C$5000,Items!$A$2:$A$500)&lt;Items!$D$2:$D$500)*(Items!$D$2:$D$500-SUMIFS(Payments!$D$2:$D$5000,Payments!$B$2:$B$5000,$A6,Payments!$C$2:$C$5000,Items!$A$2:$A$500))))</f>
        <v/>
      </c>
      <c r="E6" s="17">
        <f>IF(A6="","",IF(D6&lt;=0,"مدفوع ✅","عليه "&amp;D6))</f>
        <v/>
      </c>
      <c r="F6" s="17">
        <f>IF(A6="","",IF(D6&gt;0,HYPERLINK("https://wa.me/"&amp;Apartments!C6&amp;"?text="&amp;_xlfn.ENCODEURL("السلام عليكم، شقة "&amp;A6&amp;". نشكر لكم مساهمتكم في صندوق عمارة 220 حي القرنفل، فهي استثمار في راحة الجميع وسلامة المبنى. يتبقى من إسهامكم "&amp;D6&amp;" جنيه، ويسعدنا متابعتكم للتفاصيل والمساهمة عبر: "&amp;$J$2),"ارسل تنبيه"),""))</f>
        <v/>
      </c>
    </row>
    <row r="7" ht="15" customHeight="1" s="12">
      <c r="A7" s="17">
        <f>IF(Apartments!A7="","",Apartments!A7)</f>
        <v/>
      </c>
      <c r="B7" s="17">
        <f>IF(A7="","",SUMPRODUCT((Items!$A$2:$A$500&lt;&gt;"")*(SUMIFS(Payments!$D$2:$D$5000,Payments!$B$2:$B$5000,$A7,Payments!$C$2:$C$5000,Items!$A$2:$A$500)&lt;Items!$D$2:$D$500)*Items!$D$2:$D$500))</f>
        <v/>
      </c>
      <c r="C7" s="17">
        <f>IF(A7="","",B7-D7)</f>
        <v/>
      </c>
      <c r="D7" s="17">
        <f>IF(A7="","",SUMPRODUCT((Items!$A$2:$A$500&lt;&gt;"")*(SUMIFS(Payments!$D$2:$D$5000,Payments!$B$2:$B$5000,$A7,Payments!$C$2:$C$5000,Items!$A$2:$A$500)&lt;Items!$D$2:$D$500)*(Items!$D$2:$D$500-SUMIFS(Payments!$D$2:$D$5000,Payments!$B$2:$B$5000,$A7,Payments!$C$2:$C$5000,Items!$A$2:$A$500))))</f>
        <v/>
      </c>
      <c r="E7" s="17">
        <f>IF(A7="","",IF(D7&lt;=0,"مدفوع ✅","عليه "&amp;D7))</f>
        <v/>
      </c>
      <c r="F7" s="17">
        <f>IF(A7="","",IF(D7&gt;0,HYPERLINK("https://wa.me/"&amp;Apartments!C7&amp;"?text="&amp;_xlfn.ENCODEURL("السلام عليكم، شقة "&amp;A7&amp;". نشكر لكم مساهمتكم في صندوق عمارة 220 حي القرنفل، فهي استثمار في راحة الجميع وسلامة المبنى. يتبقى من إسهامكم "&amp;D7&amp;" جنيه، ويسعدنا متابعتكم للتفاصيل والمساهمة عبر: "&amp;$J$2),"ارسل تنبيه"),""))</f>
        <v/>
      </c>
    </row>
    <row r="8" ht="15" customHeight="1" s="12">
      <c r="A8" s="17">
        <f>IF(Apartments!A8="","",Apartments!A8)</f>
        <v/>
      </c>
      <c r="B8" s="17">
        <f>IF(A8="","",SUMPRODUCT((Items!$A$2:$A$500&lt;&gt;"")*(SUMIFS(Payments!$D$2:$D$5000,Payments!$B$2:$B$5000,$A8,Payments!$C$2:$C$5000,Items!$A$2:$A$500)&lt;Items!$D$2:$D$500)*Items!$D$2:$D$500))</f>
        <v/>
      </c>
      <c r="C8" s="17">
        <f>IF(A8="","",B8-D8)</f>
        <v/>
      </c>
      <c r="D8" s="17">
        <f>IF(A8="","",SUMPRODUCT((Items!$A$2:$A$500&lt;&gt;"")*(SUMIFS(Payments!$D$2:$D$5000,Payments!$B$2:$B$5000,$A8,Payments!$C$2:$C$5000,Items!$A$2:$A$500)&lt;Items!$D$2:$D$500)*(Items!$D$2:$D$500-SUMIFS(Payments!$D$2:$D$5000,Payments!$B$2:$B$5000,$A8,Payments!$C$2:$C$5000,Items!$A$2:$A$500))))</f>
        <v/>
      </c>
      <c r="E8" s="17">
        <f>IF(A8="","",IF(D8&lt;=0,"مدفوع ✅","عليه "&amp;D8))</f>
        <v/>
      </c>
      <c r="F8" s="17">
        <f>IF(A8="","",IF(D8&gt;0,HYPERLINK("https://wa.me/"&amp;Apartments!C8&amp;"?text="&amp;_xlfn.ENCODEURL("السلام عليكم، شقة "&amp;A8&amp;". نشكر لكم مساهمتكم في صندوق عمارة 220 حي القرنفل، فهي استثمار في راحة الجميع وسلامة المبنى. يتبقى من إسهامكم "&amp;D8&amp;" جنيه، ويسعدنا متابعتكم للتفاصيل والمساهمة عبر: "&amp;$J$2),"ارسل تنبيه"),""))</f>
        <v/>
      </c>
    </row>
    <row r="9" ht="15" customHeight="1" s="12">
      <c r="A9" s="17">
        <f>IF(Apartments!A9="","",Apartments!A9)</f>
        <v/>
      </c>
      <c r="B9" s="17">
        <f>IF(A9="","",SUMPRODUCT((Items!$A$2:$A$500&lt;&gt;"")*(SUMIFS(Payments!$D$2:$D$5000,Payments!$B$2:$B$5000,$A9,Payments!$C$2:$C$5000,Items!$A$2:$A$500)&lt;Items!$D$2:$D$500)*Items!$D$2:$D$500))</f>
        <v/>
      </c>
      <c r="C9" s="17">
        <f>IF(A9="","",B9-D9)</f>
        <v/>
      </c>
      <c r="D9" s="17">
        <f>IF(A9="","",SUMPRODUCT((Items!$A$2:$A$500&lt;&gt;"")*(SUMIFS(Payments!$D$2:$D$5000,Payments!$B$2:$B$5000,$A9,Payments!$C$2:$C$5000,Items!$A$2:$A$500)&lt;Items!$D$2:$D$500)*(Items!$D$2:$D$500-SUMIFS(Payments!$D$2:$D$5000,Payments!$B$2:$B$5000,$A9,Payments!$C$2:$C$5000,Items!$A$2:$A$500))))</f>
        <v/>
      </c>
      <c r="E9" s="17">
        <f>IF(A9="","",IF(D9&lt;=0,"مدفوع ✅","عليه "&amp;D9))</f>
        <v/>
      </c>
      <c r="F9" s="17">
        <f>IF(A9="","",IF(D9&gt;0,HYPERLINK("https://wa.me/"&amp;Apartments!C9&amp;"?text="&amp;_xlfn.ENCODEURL("السلام عليكم، شقة "&amp;A9&amp;". نشكر لكم مساهمتكم في صندوق عمارة 220 حي القرنفل، فهي استثمار في راحة الجميع وسلامة المبنى. يتبقى من إسهامكم "&amp;D9&amp;" جنيه، ويسعدنا متابعتكم للتفاصيل والمساهمة عبر: "&amp;$J$2),"ارسل تنبيه"),""))</f>
        <v/>
      </c>
    </row>
    <row r="10" ht="15" customHeight="1" s="12">
      <c r="A10" s="17">
        <f>IF(Apartments!A10="","",Apartments!A10)</f>
        <v/>
      </c>
      <c r="B10" s="17">
        <f>IF(A10="","",SUMPRODUCT((Items!$A$2:$A$500&lt;&gt;"")*(SUMIFS(Payments!$D$2:$D$5000,Payments!$B$2:$B$5000,$A10,Payments!$C$2:$C$5000,Items!$A$2:$A$500)&lt;Items!$D$2:$D$500)*Items!$D$2:$D$500))</f>
        <v/>
      </c>
      <c r="C10" s="17">
        <f>IF(A10="","",B10-D10)</f>
        <v/>
      </c>
      <c r="D10" s="17">
        <f>IF(A10="","",SUMPRODUCT((Items!$A$2:$A$500&lt;&gt;"")*(SUMIFS(Payments!$D$2:$D$5000,Payments!$B$2:$B$5000,$A10,Payments!$C$2:$C$5000,Items!$A$2:$A$500)&lt;Items!$D$2:$D$500)*(Items!$D$2:$D$500-SUMIFS(Payments!$D$2:$D$5000,Payments!$B$2:$B$5000,$A10,Payments!$C$2:$C$5000,Items!$A$2:$A$500))))</f>
        <v/>
      </c>
      <c r="E10" s="17">
        <f>IF(A10="","",IF(D10&lt;=0,"مدفوع ✅","عليه "&amp;D10))</f>
        <v/>
      </c>
      <c r="F10" s="17">
        <f>IF(A10="","",IF(D10&gt;0,HYPERLINK("https://wa.me/"&amp;Apartments!C10&amp;"?text="&amp;_xlfn.ENCODEURL("السلام عليكم، شقة "&amp;A10&amp;". نشكر لكم مساهمتكم في صندوق عمارة 220 حي القرنفل، فهي استثمار في راحة الجميع وسلامة المبنى. يتبقى من إسهامكم "&amp;D10&amp;" جنيه، ويسعدنا متابعتكم للتفاصيل والمساهمة عبر: "&amp;$J$2),"ارسل تنبيه"),""))</f>
        <v/>
      </c>
    </row>
    <row r="11" ht="15" customHeight="1" s="12">
      <c r="A11" s="17">
        <f>IF(Apartments!A11="","",Apartments!A11)</f>
        <v/>
      </c>
      <c r="B11" s="17">
        <f>IF(A11="","",SUMPRODUCT((Items!$A$2:$A$500&lt;&gt;"")*(SUMIFS(Payments!$D$2:$D$5000,Payments!$B$2:$B$5000,$A11,Payments!$C$2:$C$5000,Items!$A$2:$A$500)&lt;Items!$D$2:$D$500)*Items!$D$2:$D$500))</f>
        <v/>
      </c>
      <c r="C11" s="17">
        <f>IF(A11="","",B11-D11)</f>
        <v/>
      </c>
      <c r="D11" s="17">
        <f>IF(A11="","",SUMPRODUCT((Items!$A$2:$A$500&lt;&gt;"")*(SUMIFS(Payments!$D$2:$D$5000,Payments!$B$2:$B$5000,$A11,Payments!$C$2:$C$5000,Items!$A$2:$A$500)&lt;Items!$D$2:$D$500)*(Items!$D$2:$D$500-SUMIFS(Payments!$D$2:$D$5000,Payments!$B$2:$B$5000,$A11,Payments!$C$2:$C$5000,Items!$A$2:$A$500))))</f>
        <v/>
      </c>
      <c r="E11" s="17">
        <f>IF(A11="","",IF(D11&lt;=0,"مدفوع ✅","عليه "&amp;D11))</f>
        <v/>
      </c>
      <c r="F11" s="17">
        <f>IF(A11="","",IF(D11&gt;0,HYPERLINK("https://wa.me/"&amp;Apartments!C11&amp;"?text="&amp;_xlfn.ENCODEURL("السلام عليكم، شقة "&amp;A11&amp;". نشكر لكم مساهمتكم في صندوق عمارة 220 حي القرنفل، فهي استثمار في راحة الجميع وسلامة المبنى. يتبقى من إسهامكم "&amp;D11&amp;" جنيه، ويسعدنا متابعتكم للتفاصيل والمساهمة عبر: "&amp;$J$2),"ارسل تنبيه"),""))</f>
        <v/>
      </c>
    </row>
    <row r="12" ht="15" customHeight="1" s="12">
      <c r="A12" s="17">
        <f>IF(Apartments!A12="","",Apartments!A12)</f>
        <v/>
      </c>
      <c r="B12" s="17">
        <f>IF(A12="","",SUMPRODUCT((Items!$A$2:$A$500&lt;&gt;"")*(SUMIFS(Payments!$D$2:$D$5000,Payments!$B$2:$B$5000,$A12,Payments!$C$2:$C$5000,Items!$A$2:$A$500)&lt;Items!$D$2:$D$500)*Items!$D$2:$D$500))</f>
        <v/>
      </c>
      <c r="C12" s="17">
        <f>IF(A12="","",B12-D12)</f>
        <v/>
      </c>
      <c r="D12" s="17">
        <f>IF(A12="","",SUMPRODUCT((Items!$A$2:$A$500&lt;&gt;"")*(SUMIFS(Payments!$D$2:$D$5000,Payments!$B$2:$B$5000,$A12,Payments!$C$2:$C$5000,Items!$A$2:$A$500)&lt;Items!$D$2:$D$500)*(Items!$D$2:$D$500-SUMIFS(Payments!$D$2:$D$5000,Payments!$B$2:$B$5000,$A12,Payments!$C$2:$C$5000,Items!$A$2:$A$500))))</f>
        <v/>
      </c>
      <c r="E12" s="17">
        <f>IF(A12="","",IF(D12&lt;=0,"مدفوع ✅","عليه "&amp;D12))</f>
        <v/>
      </c>
      <c r="F12" s="17">
        <f>IF(A12="","",IF(D12&gt;0,HYPERLINK("https://wa.me/"&amp;Apartments!C12&amp;"?text="&amp;_xlfn.ENCODEURL("السلام عليكم، شقة "&amp;A12&amp;". نشكر لكم مساهمتكم في صندوق عمارة 220 حي القرنفل، فهي استثمار في راحة الجميع وسلامة المبنى. يتبقى من إسهامكم "&amp;D12&amp;" جنيه، ويسعدنا متابعتكم للتفاصيل والمساهمة عبر: "&amp;$J$2),"ارسل تنبيه"),""))</f>
        <v/>
      </c>
    </row>
    <row r="13" ht="15" customHeight="1" s="12">
      <c r="A13" s="17">
        <f>IF(Apartments!A13="","",Apartments!A13)</f>
        <v/>
      </c>
      <c r="B13" s="17">
        <f>IF(A13="","",SUMPRODUCT((Items!$A$2:$A$500&lt;&gt;"")*(SUMIFS(Payments!$D$2:$D$5000,Payments!$B$2:$B$5000,$A13,Payments!$C$2:$C$5000,Items!$A$2:$A$500)&lt;Items!$D$2:$D$500)*Items!$D$2:$D$500))</f>
        <v/>
      </c>
      <c r="C13" s="17">
        <f>IF(A13="","",B13-D13)</f>
        <v/>
      </c>
      <c r="D13" s="17">
        <f>IF(A13="","",SUMPRODUCT((Items!$A$2:$A$500&lt;&gt;"")*(SUMIFS(Payments!$D$2:$D$5000,Payments!$B$2:$B$5000,$A13,Payments!$C$2:$C$5000,Items!$A$2:$A$500)&lt;Items!$D$2:$D$500)*(Items!$D$2:$D$500-SUMIFS(Payments!$D$2:$D$5000,Payments!$B$2:$B$5000,$A13,Payments!$C$2:$C$5000,Items!$A$2:$A$500))))</f>
        <v/>
      </c>
      <c r="E13" s="17">
        <f>IF(A13="","",IF(D13&lt;=0,"مدفوع ✅","عليه "&amp;D13))</f>
        <v/>
      </c>
      <c r="F13" s="17">
        <f>IF(A13="","",IF(D13&gt;0,HYPERLINK("https://wa.me/"&amp;Apartments!C13&amp;"?text="&amp;_xlfn.ENCODEURL("السلام عليكم، شقة "&amp;A13&amp;". نشكر لكم مساهمتكم في صندوق عمارة 220 حي القرنفل، فهي استثمار في راحة الجميع وسلامة المبنى. يتبقى من إسهامكم "&amp;D13&amp;" جنيه، ويسعدنا متابعتكم للتفاصيل والمساهمة عبر: "&amp;$J$2),"ارسل تنبيه"),""))</f>
        <v/>
      </c>
    </row>
    <row r="14" ht="15" customHeight="1" s="12">
      <c r="A14" s="17">
        <f>IF(Apartments!A14="","",Apartments!A14)</f>
        <v/>
      </c>
      <c r="B14" s="17">
        <f>IF(A14="","",SUMPRODUCT((Items!$A$2:$A$500&lt;&gt;"")*(SUMIFS(Payments!$D$2:$D$5000,Payments!$B$2:$B$5000,$A14,Payments!$C$2:$C$5000,Items!$A$2:$A$500)&lt;Items!$D$2:$D$500)*Items!$D$2:$D$500))</f>
        <v/>
      </c>
      <c r="C14" s="17">
        <f>IF(A14="","",B14-D14)</f>
        <v/>
      </c>
      <c r="D14" s="17">
        <f>IF(A14="","",SUMPRODUCT((Items!$A$2:$A$500&lt;&gt;"")*(SUMIFS(Payments!$D$2:$D$5000,Payments!$B$2:$B$5000,$A14,Payments!$C$2:$C$5000,Items!$A$2:$A$500)&lt;Items!$D$2:$D$500)*(Items!$D$2:$D$500-SUMIFS(Payments!$D$2:$D$5000,Payments!$B$2:$B$5000,$A14,Payments!$C$2:$C$5000,Items!$A$2:$A$500))))</f>
        <v/>
      </c>
      <c r="E14" s="17">
        <f>IF(A14="","",IF(D14&lt;=0,"مدفوع ✅","عليه "&amp;D14))</f>
        <v/>
      </c>
      <c r="F14" s="17">
        <f>IF(A14="","",IF(D14&gt;0,HYPERLINK("https://wa.me/"&amp;Apartments!C14&amp;"?text="&amp;_xlfn.ENCODEURL("السلام عليكم، شقة "&amp;A14&amp;". نشكر لكم مساهمتكم في صندوق عمارة 220 حي القرنفل، فهي استثمار في راحة الجميع وسلامة المبنى. يتبقى من إسهامكم "&amp;D14&amp;" جنيه، ويسعدنا متابعتكم للتفاصيل والمساهمة عبر: "&amp;$J$2),"ارسل تنبيه"),""))</f>
        <v/>
      </c>
    </row>
    <row r="15" ht="15" customHeight="1" s="12">
      <c r="A15" s="17">
        <f>IF(Apartments!A15="","",Apartments!A15)</f>
        <v/>
      </c>
      <c r="B15" s="17">
        <f>IF(A15="","",SUMPRODUCT((Items!$A$2:$A$500&lt;&gt;"")*(SUMIFS(Payments!$D$2:$D$5000,Payments!$B$2:$B$5000,$A15,Payments!$C$2:$C$5000,Items!$A$2:$A$500)&lt;Items!$D$2:$D$500)*Items!$D$2:$D$500))</f>
        <v/>
      </c>
      <c r="C15" s="17">
        <f>IF(A15="","",B15-D15)</f>
        <v/>
      </c>
      <c r="D15" s="17">
        <f>IF(A15="","",SUMPRODUCT((Items!$A$2:$A$500&lt;&gt;"")*(SUMIFS(Payments!$D$2:$D$5000,Payments!$B$2:$B$5000,$A15,Payments!$C$2:$C$5000,Items!$A$2:$A$500)&lt;Items!$D$2:$D$500)*(Items!$D$2:$D$500-SUMIFS(Payments!$D$2:$D$5000,Payments!$B$2:$B$5000,$A15,Payments!$C$2:$C$5000,Items!$A$2:$A$500))))</f>
        <v/>
      </c>
      <c r="E15" s="17">
        <f>IF(A15="","",IF(D15&lt;=0,"مدفوع ✅","عليه "&amp;D15))</f>
        <v/>
      </c>
      <c r="F15" s="17">
        <f>IF(A15="","",IF(D15&gt;0,HYPERLINK("https://wa.me/"&amp;Apartments!C15&amp;"?text="&amp;_xlfn.ENCODEURL("السلام عليكم، شقة "&amp;A15&amp;". نشكر لكم مساهمتكم في صندوق عمارة 220 حي القرنفل، فهي استثمار في راحة الجميع وسلامة المبنى. يتبقى من إسهامكم "&amp;D15&amp;" جنيه، ويسعدنا متابعتكم للتفاصيل والمساهمة عبر: "&amp;$J$2),"ارسل تنبيه"),""))</f>
        <v/>
      </c>
    </row>
    <row r="16" ht="15" customHeight="1" s="12">
      <c r="A16" s="17">
        <f>IF(Apartments!A16="","",Apartments!A16)</f>
        <v/>
      </c>
      <c r="B16" s="17">
        <f>IF(A16="","",SUMPRODUCT((Items!$A$2:$A$500&lt;&gt;"")*(SUMIFS(Payments!$D$2:$D$5000,Payments!$B$2:$B$5000,$A16,Payments!$C$2:$C$5000,Items!$A$2:$A$500)&lt;Items!$D$2:$D$500)*Items!$D$2:$D$500))</f>
        <v/>
      </c>
      <c r="C16" s="17">
        <f>IF(A16="","",B16-D16)</f>
        <v/>
      </c>
      <c r="D16" s="17">
        <f>IF(A16="","",SUMPRODUCT((Items!$A$2:$A$500&lt;&gt;"")*(SUMIFS(Payments!$D$2:$D$5000,Payments!$B$2:$B$5000,$A16,Payments!$C$2:$C$5000,Items!$A$2:$A$500)&lt;Items!$D$2:$D$500)*(Items!$D$2:$D$500-SUMIFS(Payments!$D$2:$D$5000,Payments!$B$2:$B$5000,$A16,Payments!$C$2:$C$5000,Items!$A$2:$A$500))))</f>
        <v/>
      </c>
      <c r="E16" s="17">
        <f>IF(A16="","",IF(D16&lt;=0,"مدفوع ✅","عليه "&amp;D16))</f>
        <v/>
      </c>
      <c r="F16" s="17">
        <f>IF(A16="","",IF(D16&gt;0,HYPERLINK("https://wa.me/"&amp;Apartments!C16&amp;"?text="&amp;_xlfn.ENCODEURL("السلام عليكم، شقة "&amp;A16&amp;". نشكر لكم مساهمتكم في صندوق عمارة 220 حي القرنفل، فهي استثمار في راحة الجميع وسلامة المبنى. يتبقى من إسهامكم "&amp;D16&amp;" جنيه، ويسعدنا متابعتكم للتفاصيل والمساهمة عبر: "&amp;$J$2),"ارسل تنبيه"),""))</f>
        <v/>
      </c>
    </row>
    <row r="17" ht="15" customHeight="1" s="12">
      <c r="A17" s="17">
        <f>IF(Apartments!A17="","",Apartments!A17)</f>
        <v/>
      </c>
      <c r="B17" s="17">
        <f>IF(A17="","",SUMPRODUCT((Items!$A$2:$A$500&lt;&gt;"")*(SUMIFS(Payments!$D$2:$D$5000,Payments!$B$2:$B$5000,$A17,Payments!$C$2:$C$5000,Items!$A$2:$A$500)&lt;Items!$D$2:$D$500)*Items!$D$2:$D$500))</f>
        <v/>
      </c>
      <c r="C17" s="17">
        <f>IF(A17="","",B17-D17)</f>
        <v/>
      </c>
      <c r="D17" s="17">
        <f>IF(A17="","",SUMPRODUCT((Items!$A$2:$A$500&lt;&gt;"")*(SUMIFS(Payments!$D$2:$D$5000,Payments!$B$2:$B$5000,$A17,Payments!$C$2:$C$5000,Items!$A$2:$A$500)&lt;Items!$D$2:$D$500)*(Items!$D$2:$D$500-SUMIFS(Payments!$D$2:$D$5000,Payments!$B$2:$B$5000,$A17,Payments!$C$2:$C$5000,Items!$A$2:$A$500))))</f>
        <v/>
      </c>
      <c r="E17" s="17">
        <f>IF(A17="","",IF(D17&lt;=0,"مدفوع ✅","عليه "&amp;D17))</f>
        <v/>
      </c>
      <c r="F17" s="17">
        <f>IF(A17="","",IF(D17&gt;0,HYPERLINK("https://wa.me/"&amp;Apartments!C17&amp;"?text="&amp;_xlfn.ENCODEURL("السلام عليكم، شقة "&amp;A17&amp;". نشكر لكم مساهمتكم في صندوق عمارة 220 حي القرنفل، فهي استثمار في راحة الجميع وسلامة المبنى. يتبقى من إسهامكم "&amp;D17&amp;" جنيه، ويسعدنا متابعتكم للتفاصيل والمساهمة عبر: "&amp;$J$2),"ارسل تنبيه"),""))</f>
        <v/>
      </c>
    </row>
    <row r="18" ht="15" customHeight="1" s="12">
      <c r="A18" s="17">
        <f>IF(Apartments!A18="","",Apartments!A18)</f>
        <v/>
      </c>
      <c r="B18" s="17">
        <f>IF(A18="","",SUMPRODUCT((Items!$A$2:$A$500&lt;&gt;"")*(SUMIFS(Payments!$D$2:$D$5000,Payments!$B$2:$B$5000,$A18,Payments!$C$2:$C$5000,Items!$A$2:$A$500)&lt;Items!$D$2:$D$500)*Items!$D$2:$D$500))</f>
        <v/>
      </c>
      <c r="C18" s="17">
        <f>IF(A18="","",B18-D18)</f>
        <v/>
      </c>
      <c r="D18" s="17">
        <f>IF(A18="","",SUMPRODUCT((Items!$A$2:$A$500&lt;&gt;"")*(SUMIFS(Payments!$D$2:$D$5000,Payments!$B$2:$B$5000,$A18,Payments!$C$2:$C$5000,Items!$A$2:$A$500)&lt;Items!$D$2:$D$500)*(Items!$D$2:$D$500-SUMIFS(Payments!$D$2:$D$5000,Payments!$B$2:$B$5000,$A18,Payments!$C$2:$C$5000,Items!$A$2:$A$500))))</f>
        <v/>
      </c>
      <c r="E18" s="17">
        <f>IF(A18="","",IF(D18&lt;=0,"مدفوع ✅","عليه "&amp;D18))</f>
        <v/>
      </c>
      <c r="F18" s="17">
        <f>IF(A18="","",IF(D18&gt;0,HYPERLINK("https://wa.me/"&amp;Apartments!C18&amp;"?text="&amp;_xlfn.ENCODEURL("السلام عليكم، شقة "&amp;A18&amp;". نشكر لكم مساهمتكم في صندوق عمارة 220 حي القرنفل، فهي استثمار في راحة الجميع وسلامة المبنى. يتبقى من إسهامكم "&amp;D18&amp;" جنيه، ويسعدنا متابعتكم للتفاصيل والمساهمة عبر: "&amp;$J$2),"ارسل تنبيه"),""))</f>
        <v/>
      </c>
    </row>
    <row r="19" ht="15" customHeight="1" s="12">
      <c r="A19" s="17">
        <f>IF(Apartments!A19="","",Apartments!A19)</f>
        <v/>
      </c>
      <c r="B19" s="17">
        <f>IF(A19="","",SUMPRODUCT((Items!$A$2:$A$500&lt;&gt;"")*(SUMIFS(Payments!$D$2:$D$5000,Payments!$B$2:$B$5000,$A19,Payments!$C$2:$C$5000,Items!$A$2:$A$500)&lt;Items!$D$2:$D$500)*Items!$D$2:$D$500))</f>
        <v/>
      </c>
      <c r="C19" s="17">
        <f>IF(A19="","",B19-D19)</f>
        <v/>
      </c>
      <c r="D19" s="17">
        <f>IF(A19="","",SUMPRODUCT((Items!$A$2:$A$500&lt;&gt;"")*(SUMIFS(Payments!$D$2:$D$5000,Payments!$B$2:$B$5000,$A19,Payments!$C$2:$C$5000,Items!$A$2:$A$500)&lt;Items!$D$2:$D$500)*(Items!$D$2:$D$500-SUMIFS(Payments!$D$2:$D$5000,Payments!$B$2:$B$5000,$A19,Payments!$C$2:$C$5000,Items!$A$2:$A$500))))</f>
        <v/>
      </c>
      <c r="E19" s="17">
        <f>IF(A19="","",IF(D19&lt;=0,"مدفوع ✅","عليه "&amp;D19))</f>
        <v/>
      </c>
      <c r="F19" s="17">
        <f>IF(A19="","",IF(D19&gt;0,HYPERLINK("https://wa.me/"&amp;Apartments!C19&amp;"?text="&amp;_xlfn.ENCODEURL("السلام عليكم، شقة "&amp;A19&amp;". نشكر لكم مساهمتكم في صندوق عمارة 220 حي القرنفل، فهي استثمار في راحة الجميع وسلامة المبنى. يتبقى من إسهامكم "&amp;D19&amp;" جنيه، ويسعدنا متابعتكم للتفاصيل والمساهمة عبر: "&amp;$J$2),"ارسل تنبيه"),""))</f>
        <v/>
      </c>
    </row>
    <row r="20" ht="15" customHeight="1" s="12">
      <c r="A20" s="17">
        <f>IF(Apartments!A20="","",Apartments!A20)</f>
        <v/>
      </c>
      <c r="B20" s="17">
        <f>IF(A20="","",SUMPRODUCT((Items!$A$2:$A$500&lt;&gt;"")*(SUMIFS(Payments!$D$2:$D$5000,Payments!$B$2:$B$5000,$A20,Payments!$C$2:$C$5000,Items!$A$2:$A$500)&lt;Items!$D$2:$D$500)*Items!$D$2:$D$500))</f>
        <v/>
      </c>
      <c r="C20" s="17">
        <f>IF(A20="","",B20-D20)</f>
        <v/>
      </c>
      <c r="D20" s="17">
        <f>IF(A20="","",SUMPRODUCT((Items!$A$2:$A$500&lt;&gt;"")*(SUMIFS(Payments!$D$2:$D$5000,Payments!$B$2:$B$5000,$A20,Payments!$C$2:$C$5000,Items!$A$2:$A$500)&lt;Items!$D$2:$D$500)*(Items!$D$2:$D$500-SUMIFS(Payments!$D$2:$D$5000,Payments!$B$2:$B$5000,$A20,Payments!$C$2:$C$5000,Items!$A$2:$A$500))))</f>
        <v/>
      </c>
      <c r="E20" s="17">
        <f>IF(A20="","",IF(D20&lt;=0,"مدفوع ✅","عليه "&amp;D20))</f>
        <v/>
      </c>
      <c r="F20" s="17">
        <f>IF(A20="","",IF(D20&gt;0,HYPERLINK("https://wa.me/"&amp;Apartments!C20&amp;"?text="&amp;_xlfn.ENCODEURL("السلام عليكم، شقة "&amp;A20&amp;". نشكر لكم مساهمتكم في صندوق عمارة 220 حي القرنفل، فهي استثمار في راحة الجميع وسلامة المبنى. يتبقى من إسهامكم "&amp;D20&amp;" جنيه، ويسعدنا متابعتكم للتفاصيل والمساهمة عبر: "&amp;$J$2),"ارسل تنبيه"),""))</f>
        <v/>
      </c>
    </row>
    <row r="21" ht="15" customHeight="1" s="12">
      <c r="A21" s="17">
        <f>IF(Apartments!A21="","",Apartments!A21)</f>
        <v/>
      </c>
      <c r="B21" s="17">
        <f>IF(A21="","",SUMPRODUCT((Items!$A$2:$A$500&lt;&gt;"")*(SUMIFS(Payments!$D$2:$D$5000,Payments!$B$2:$B$5000,$A21,Payments!$C$2:$C$5000,Items!$A$2:$A$500)&lt;Items!$D$2:$D$500)*Items!$D$2:$D$500))</f>
        <v/>
      </c>
      <c r="C21" s="17">
        <f>IF(A21="","",B21-D21)</f>
        <v/>
      </c>
      <c r="D21" s="17">
        <f>IF(A21="","",SUMPRODUCT((Items!$A$2:$A$500&lt;&gt;"")*(SUMIFS(Payments!$D$2:$D$5000,Payments!$B$2:$B$5000,$A21,Payments!$C$2:$C$5000,Items!$A$2:$A$500)&lt;Items!$D$2:$D$500)*(Items!$D$2:$D$500-SUMIFS(Payments!$D$2:$D$5000,Payments!$B$2:$B$5000,$A21,Payments!$C$2:$C$5000,Items!$A$2:$A$500))))</f>
        <v/>
      </c>
      <c r="E21" s="17">
        <f>IF(A21="","",IF(D21&lt;=0,"مدفوع ✅","عليه "&amp;D21))</f>
        <v/>
      </c>
      <c r="F21" s="17">
        <f>IF(A21="","",IF(D21&gt;0,HYPERLINK("https://wa.me/"&amp;Apartments!C21&amp;"?text="&amp;_xlfn.ENCODEURL("السلام عليكم، شقة "&amp;A21&amp;". نشكر لكم مساهمتكم في صندوق عمارة 220 حي القرنفل، فهي استثمار في راحة الجميع وسلامة المبنى. يتبقى من إسهامكم "&amp;D21&amp;" جنيه، ويسعدنا متابعتكم للتفاصيل والمساهمة عبر: "&amp;$J$2),"ارسل تنبيه"),""))</f>
        <v/>
      </c>
    </row>
    <row r="22" ht="15" customHeight="1" s="12">
      <c r="A22" s="17">
        <f>IF(Apartments!A22="","",Apartments!A22)</f>
        <v/>
      </c>
      <c r="B22" s="17">
        <f>IF(A22="","",SUMPRODUCT((Items!$A$2:$A$500&lt;&gt;"")*(SUMIFS(Payments!$D$2:$D$5000,Payments!$B$2:$B$5000,$A22,Payments!$C$2:$C$5000,Items!$A$2:$A$500)&lt;Items!$D$2:$D$500)*Items!$D$2:$D$500))</f>
        <v/>
      </c>
      <c r="C22" s="17">
        <f>IF(A22="","",B22-D22)</f>
        <v/>
      </c>
      <c r="D22" s="17">
        <f>IF(A22="","",SUMPRODUCT((Items!$A$2:$A$500&lt;&gt;"")*(SUMIFS(Payments!$D$2:$D$5000,Payments!$B$2:$B$5000,$A22,Payments!$C$2:$C$5000,Items!$A$2:$A$500)&lt;Items!$D$2:$D$500)*(Items!$D$2:$D$500-SUMIFS(Payments!$D$2:$D$5000,Payments!$B$2:$B$5000,$A22,Payments!$C$2:$C$5000,Items!$A$2:$A$500))))</f>
        <v/>
      </c>
      <c r="E22" s="17">
        <f>IF(A22="","",IF(D22&lt;=0,"مدفوع ✅","عليه "&amp;D22))</f>
        <v/>
      </c>
      <c r="F22" s="17">
        <f>IF(A22="","",IF(D22&gt;0,HYPERLINK("https://wa.me/"&amp;Apartments!C22&amp;"?text="&amp;_xlfn.ENCODEURL("السلام عليكم، شقة "&amp;A22&amp;". نشكر لكم مساهمتكم في صندوق عمارة 220 حي القرنفل، فهي استثمار في راحة الجميع وسلامة المبنى. يتبقى من إسهامكم "&amp;D22&amp;" جنيه، ويسعدنا متابعتكم للتفاصيل والمساهمة عبر: "&amp;$J$2),"ارسل تنبيه"),""))</f>
        <v/>
      </c>
    </row>
    <row r="23" ht="15" customHeight="1" s="12">
      <c r="A23" s="17">
        <f>IF(Apartments!A23="","",Apartments!A23)</f>
        <v/>
      </c>
      <c r="B23" s="17">
        <f>IF(A23="","",SUMPRODUCT((Items!$A$2:$A$500&lt;&gt;"")*(SUMIFS(Payments!$D$2:$D$5000,Payments!$B$2:$B$5000,$A23,Payments!$C$2:$C$5000,Items!$A$2:$A$500)&lt;Items!$D$2:$D$500)*Items!$D$2:$D$500))</f>
        <v/>
      </c>
      <c r="C23" s="17">
        <f>IF(A23="","",B23-D23)</f>
        <v/>
      </c>
      <c r="D23" s="17">
        <f>IF(A23="","",SUMPRODUCT((Items!$A$2:$A$500&lt;&gt;"")*(SUMIFS(Payments!$D$2:$D$5000,Payments!$B$2:$B$5000,$A23,Payments!$C$2:$C$5000,Items!$A$2:$A$500)&lt;Items!$D$2:$D$500)*(Items!$D$2:$D$500-SUMIFS(Payments!$D$2:$D$5000,Payments!$B$2:$B$5000,$A23,Payments!$C$2:$C$5000,Items!$A$2:$A$500))))</f>
        <v/>
      </c>
      <c r="E23" s="17">
        <f>IF(A23="","",IF(D23&lt;=0,"مدفوع ✅","عليه "&amp;D23))</f>
        <v/>
      </c>
      <c r="F23" s="17">
        <f>IF(A23="","",IF(D23&gt;0,HYPERLINK("https://wa.me/"&amp;Apartments!C23&amp;"?text="&amp;_xlfn.ENCODEURL("السلام عليكم، شقة "&amp;A23&amp;". نشكر لكم مساهمتكم في صندوق عمارة 220 حي القرنفل، فهي استثمار في راحة الجميع وسلامة المبنى. يتبقى من إسهامكم "&amp;D23&amp;" جنيه، ويسعدنا متابعتكم للتفاصيل والمساهمة عبر: "&amp;$J$2),"ارسل تنبيه"),""))</f>
        <v/>
      </c>
    </row>
    <row r="24" ht="15" customHeight="1" s="12">
      <c r="A24" s="17">
        <f>IF(Apartments!A24="","",Apartments!A24)</f>
        <v/>
      </c>
      <c r="B24" s="17">
        <f>IF(A24="","",SUMPRODUCT((Items!$A$2:$A$500&lt;&gt;"")*(SUMIFS(Payments!$D$2:$D$5000,Payments!$B$2:$B$5000,$A24,Payments!$C$2:$C$5000,Items!$A$2:$A$500)&lt;Items!$D$2:$D$500)*Items!$D$2:$D$500))</f>
        <v/>
      </c>
      <c r="C24" s="17">
        <f>IF(A24="","",B24-D24)</f>
        <v/>
      </c>
      <c r="D24" s="17">
        <f>IF(A24="","",SUMPRODUCT((Items!$A$2:$A$500&lt;&gt;"")*(SUMIFS(Payments!$D$2:$D$5000,Payments!$B$2:$B$5000,$A24,Payments!$C$2:$C$5000,Items!$A$2:$A$500)&lt;Items!$D$2:$D$500)*(Items!$D$2:$D$500-SUMIFS(Payments!$D$2:$D$5000,Payments!$B$2:$B$5000,$A24,Payments!$C$2:$C$5000,Items!$A$2:$A$500))))</f>
        <v/>
      </c>
      <c r="E24" s="17">
        <f>IF(A24="","",IF(D24&lt;=0,"مدفوع ✅","عليه "&amp;D24))</f>
        <v/>
      </c>
      <c r="F24" s="17">
        <f>IF(A24="","",IF(D24&gt;0,HYPERLINK("https://wa.me/"&amp;Apartments!C24&amp;"?text="&amp;_xlfn.ENCODEURL("السلام عليكم، شقة "&amp;A24&amp;". نشكر لكم مساهمتكم في صندوق عمارة 220 حي القرنفل، فهي استثمار في راحة الجميع وسلامة المبنى. يتبقى من إسهامكم "&amp;D24&amp;" جنيه، ويسعدنا متابعتكم للتفاصيل والمساهمة عبر: "&amp;$J$2),"ارسل تنبيه"),""))</f>
        <v/>
      </c>
    </row>
    <row r="25" ht="15" customHeight="1" s="12">
      <c r="A25" s="17">
        <f>IF(Apartments!A25="","",Apartments!A25)</f>
        <v/>
      </c>
      <c r="B25" s="17">
        <f>IF(A25="","",SUMPRODUCT((Items!$A$2:$A$500&lt;&gt;"")*(SUMIFS(Payments!$D$2:$D$5000,Payments!$B$2:$B$5000,$A25,Payments!$C$2:$C$5000,Items!$A$2:$A$500)&lt;Items!$D$2:$D$500)*Items!$D$2:$D$500))</f>
        <v/>
      </c>
      <c r="C25" s="17">
        <f>IF(A25="","",B25-D25)</f>
        <v/>
      </c>
      <c r="D25" s="17">
        <f>IF(A25="","",SUMPRODUCT((Items!$A$2:$A$500&lt;&gt;"")*(SUMIFS(Payments!$D$2:$D$5000,Payments!$B$2:$B$5000,$A25,Payments!$C$2:$C$5000,Items!$A$2:$A$500)&lt;Items!$D$2:$D$500)*(Items!$D$2:$D$500-SUMIFS(Payments!$D$2:$D$5000,Payments!$B$2:$B$5000,$A25,Payments!$C$2:$C$5000,Items!$A$2:$A$500))))</f>
        <v/>
      </c>
      <c r="E25" s="17">
        <f>IF(A25="","",IF(D25&lt;=0,"مدفوع ✅","عليه "&amp;D25))</f>
        <v/>
      </c>
      <c r="F25" s="17">
        <f>IF(A25="","",IF(D25&gt;0,HYPERLINK("https://wa.me/"&amp;Apartments!C25&amp;"?text="&amp;_xlfn.ENCODEURL("السلام عليكم، شقة "&amp;A25&amp;". نشكر لكم مساهمتكم في صندوق عمارة 220 حي القرنفل، فهي استثمار في راحة الجميع وسلامة المبنى. يتبقى من إسهامكم "&amp;D25&amp;" جنيه، ويسعدنا متابعتكم للتفاصيل والمساهمة عبر: "&amp;$J$2),"ارسل تنبيه"),""))</f>
        <v/>
      </c>
    </row>
    <row r="26" ht="15" customHeight="1" s="12">
      <c r="A26" s="17">
        <f>IF(Apartments!A26="","",Apartments!A26)</f>
        <v/>
      </c>
      <c r="B26" s="17">
        <f>IF(A26="","",SUMPRODUCT((Items!$A$2:$A$500&lt;&gt;"")*(SUMIFS(Payments!$D$2:$D$5000,Payments!$B$2:$B$5000,$A26,Payments!$C$2:$C$5000,Items!$A$2:$A$500)&lt;Items!$D$2:$D$500)*Items!$D$2:$D$500))</f>
        <v/>
      </c>
      <c r="C26" s="17">
        <f>IF(A26="","",B26-D26)</f>
        <v/>
      </c>
      <c r="D26" s="17">
        <f>IF(A26="","",SUMPRODUCT((Items!$A$2:$A$500&lt;&gt;"")*(SUMIFS(Payments!$D$2:$D$5000,Payments!$B$2:$B$5000,$A26,Payments!$C$2:$C$5000,Items!$A$2:$A$500)&lt;Items!$D$2:$D$500)*(Items!$D$2:$D$500-SUMIFS(Payments!$D$2:$D$5000,Payments!$B$2:$B$5000,$A26,Payments!$C$2:$C$5000,Items!$A$2:$A$500))))</f>
        <v/>
      </c>
      <c r="E26" s="17">
        <f>IF(A26="","",IF(D26&lt;=0,"مدفوع ✅","عليه "&amp;D26))</f>
        <v/>
      </c>
      <c r="F26" s="17">
        <f>IF(A26="","",IF(D26&gt;0,HYPERLINK("https://wa.me/"&amp;Apartments!C26&amp;"?text="&amp;_xlfn.ENCODEURL("السلام عليكم، شقة "&amp;A26&amp;". نشكر لكم مساهمتكم في صندوق عمارة 220 حي القرنفل، فهي استثمار في راحة الجميع وسلامة المبنى. يتبقى من إسهامكم "&amp;D26&amp;" جنيه، ويسعدنا متابعتكم للتفاصيل والمساهمة عبر: "&amp;$J$2),"ارسل تنبيه"),""))</f>
        <v/>
      </c>
    </row>
    <row r="27" ht="15" customHeight="1" s="12">
      <c r="A27" s="17">
        <f>IF(Apartments!A27="","",Apartments!A27)</f>
        <v/>
      </c>
      <c r="B27" s="17">
        <f>IF(A27="","",SUMPRODUCT((Items!$A$2:$A$500&lt;&gt;"")*(SUMIFS(Payments!$D$2:$D$5000,Payments!$B$2:$B$5000,$A27,Payments!$C$2:$C$5000,Items!$A$2:$A$500)&lt;Items!$D$2:$D$500)*Items!$D$2:$D$500))</f>
        <v/>
      </c>
      <c r="C27" s="17">
        <f>IF(A27="","",B27-D27)</f>
        <v/>
      </c>
      <c r="D27" s="17">
        <f>IF(A27="","",SUMPRODUCT((Items!$A$2:$A$500&lt;&gt;"")*(SUMIFS(Payments!$D$2:$D$5000,Payments!$B$2:$B$5000,$A27,Payments!$C$2:$C$5000,Items!$A$2:$A$500)&lt;Items!$D$2:$D$500)*(Items!$D$2:$D$500-SUMIFS(Payments!$D$2:$D$5000,Payments!$B$2:$B$5000,$A27,Payments!$C$2:$C$5000,Items!$A$2:$A$500))))</f>
        <v/>
      </c>
      <c r="E27" s="17">
        <f>IF(A27="","",IF(D27&lt;=0,"مدفوع ✅","عليه "&amp;D27))</f>
        <v/>
      </c>
      <c r="F27" s="17">
        <f>IF(A27="","",IF(D27&gt;0,HYPERLINK("https://wa.me/"&amp;Apartments!C27&amp;"?text="&amp;_xlfn.ENCODEURL("السلام عليكم، شقة "&amp;A27&amp;". نشكر لكم مساهمتكم في صندوق عمارة 220 حي القرنفل، فهي استثمار في راحة الجميع وسلامة المبنى. يتبقى من إسهامكم "&amp;D27&amp;" جنيه، ويسعدنا متابعتكم للتفاصيل والمساهمة عبر: "&amp;$J$2),"ارسل تنبيه"),""))</f>
        <v/>
      </c>
    </row>
    <row r="28" ht="15" customHeight="1" s="12">
      <c r="A28" s="17">
        <f>IF(Apartments!A28="","",Apartments!A28)</f>
        <v/>
      </c>
      <c r="B28" s="17">
        <f>IF(A28="","",SUMPRODUCT((Items!$A$2:$A$500&lt;&gt;"")*(SUMIFS(Payments!$D$2:$D$5000,Payments!$B$2:$B$5000,$A28,Payments!$C$2:$C$5000,Items!$A$2:$A$500)&lt;Items!$D$2:$D$500)*Items!$D$2:$D$500))</f>
        <v/>
      </c>
      <c r="C28" s="17">
        <f>IF(A28="","",B28-D28)</f>
        <v/>
      </c>
      <c r="D28" s="17">
        <f>IF(A28="","",SUMPRODUCT((Items!$A$2:$A$500&lt;&gt;"")*(SUMIFS(Payments!$D$2:$D$5000,Payments!$B$2:$B$5000,$A28,Payments!$C$2:$C$5000,Items!$A$2:$A$500)&lt;Items!$D$2:$D$500)*(Items!$D$2:$D$500-SUMIFS(Payments!$D$2:$D$5000,Payments!$B$2:$B$5000,$A28,Payments!$C$2:$C$5000,Items!$A$2:$A$500))))</f>
        <v/>
      </c>
      <c r="E28" s="17">
        <f>IF(A28="","",IF(D28&lt;=0,"مدفوع ✅","عليه "&amp;D28))</f>
        <v/>
      </c>
      <c r="F28" s="17">
        <f>IF(A28="","",IF(D28&gt;0,HYPERLINK("https://wa.me/"&amp;Apartments!C28&amp;"?text="&amp;_xlfn.ENCODEURL("السلام عليكم، شقة "&amp;A28&amp;". نشكر لكم مساهمتكم في صندوق عمارة 220 حي القرنفل، فهي استثمار في راحة الجميع وسلامة المبنى. يتبقى من إسهامكم "&amp;D28&amp;" جنيه، ويسعدنا متابعتكم للتفاصيل والمساهمة عبر: "&amp;$J$2),"ارسل تنبيه"),""))</f>
        <v/>
      </c>
    </row>
    <row r="29" ht="15" customHeight="1" s="12">
      <c r="A29" s="17">
        <f>IF(Apartments!A29="","",Apartments!A29)</f>
        <v/>
      </c>
      <c r="B29" s="17">
        <f>IF(A29="","",SUMPRODUCT((Items!$A$2:$A$500&lt;&gt;"")*(SUMIFS(Payments!$D$2:$D$5000,Payments!$B$2:$B$5000,$A29,Payments!$C$2:$C$5000,Items!$A$2:$A$500)&lt;Items!$D$2:$D$500)*Items!$D$2:$D$500))</f>
        <v/>
      </c>
      <c r="C29" s="17">
        <f>IF(A29="","",B29-D29)</f>
        <v/>
      </c>
      <c r="D29" s="17">
        <f>IF(A29="","",SUMPRODUCT((Items!$A$2:$A$500&lt;&gt;"")*(SUMIFS(Payments!$D$2:$D$5000,Payments!$B$2:$B$5000,$A29,Payments!$C$2:$C$5000,Items!$A$2:$A$500)&lt;Items!$D$2:$D$500)*(Items!$D$2:$D$500-SUMIFS(Payments!$D$2:$D$5000,Payments!$B$2:$B$5000,$A29,Payments!$C$2:$C$5000,Items!$A$2:$A$500))))</f>
        <v/>
      </c>
      <c r="E29" s="17">
        <f>IF(A29="","",IF(D29&lt;=0,"مدفوع ✅","عليه "&amp;D29))</f>
        <v/>
      </c>
      <c r="F29" s="17">
        <f>IF(A29="","",IF(D29&gt;0,HYPERLINK("https://wa.me/"&amp;Apartments!C29&amp;"?text="&amp;_xlfn.ENCODEURL("السلام عليكم، شقة "&amp;A29&amp;". نشكر لكم مساهمتكم في صندوق عمارة 220 حي القرنفل، فهي استثمار في راحة الجميع وسلامة المبنى. يتبقى من إسهامكم "&amp;D29&amp;" جنيه، ويسعدنا متابعتكم للتفاصيل والمساهمة عبر: "&amp;$J$2),"ارسل تنبيه"),""))</f>
        <v/>
      </c>
    </row>
    <row r="30" ht="15" customHeight="1" s="12">
      <c r="A30" s="17">
        <f>IF(Apartments!A30="","",Apartments!A30)</f>
        <v/>
      </c>
      <c r="B30" s="17">
        <f>IF(A30="","",SUMPRODUCT((Items!$A$2:$A$500&lt;&gt;"")*(SUMIFS(Payments!$D$2:$D$5000,Payments!$B$2:$B$5000,$A30,Payments!$C$2:$C$5000,Items!$A$2:$A$500)&lt;Items!$D$2:$D$500)*Items!$D$2:$D$500))</f>
        <v/>
      </c>
      <c r="C30" s="17">
        <f>IF(A30="","",B30-D30)</f>
        <v/>
      </c>
      <c r="D30" s="17">
        <f>IF(A30="","",SUMPRODUCT((Items!$A$2:$A$500&lt;&gt;"")*(SUMIFS(Payments!$D$2:$D$5000,Payments!$B$2:$B$5000,$A30,Payments!$C$2:$C$5000,Items!$A$2:$A$500)&lt;Items!$D$2:$D$500)*(Items!$D$2:$D$500-SUMIFS(Payments!$D$2:$D$5000,Payments!$B$2:$B$5000,$A30,Payments!$C$2:$C$5000,Items!$A$2:$A$500))))</f>
        <v/>
      </c>
      <c r="E30" s="17">
        <f>IF(A30="","",IF(D30&lt;=0,"مدفوع ✅","عليه "&amp;D30))</f>
        <v/>
      </c>
      <c r="F30" s="17">
        <f>IF(A30="","",IF(D30&gt;0,HYPERLINK("https://wa.me/"&amp;Apartments!C30&amp;"?text="&amp;_xlfn.ENCODEURL("السلام عليكم، شقة "&amp;A30&amp;". نشكر لكم مساهمتكم في صندوق عمارة 220 حي القرنفل، فهي استثمار في راحة الجميع وسلامة المبنى. يتبقى من إسهامكم "&amp;D30&amp;" جنيه، ويسعدنا متابعتكم للتفاصيل والمساهمة عبر: "&amp;$J$2),"ارسل تنبيه"),""))</f>
        <v/>
      </c>
    </row>
    <row r="31" ht="15" customHeight="1" s="12">
      <c r="A31" s="17">
        <f>IF(Apartments!A31="","",Apartments!A31)</f>
        <v/>
      </c>
      <c r="B31" s="17">
        <f>IF(A31="","",SUMPRODUCT((Items!$A$2:$A$500&lt;&gt;"")*(SUMIFS(Payments!$D$2:$D$5000,Payments!$B$2:$B$5000,$A31,Payments!$C$2:$C$5000,Items!$A$2:$A$500)&lt;Items!$D$2:$D$500)*Items!$D$2:$D$500))</f>
        <v/>
      </c>
      <c r="C31" s="17">
        <f>IF(A31="","",B31-D31)</f>
        <v/>
      </c>
      <c r="D31" s="17">
        <f>IF(A31="","",SUMPRODUCT((Items!$A$2:$A$500&lt;&gt;"")*(SUMIFS(Payments!$D$2:$D$5000,Payments!$B$2:$B$5000,$A31,Payments!$C$2:$C$5000,Items!$A$2:$A$500)&lt;Items!$D$2:$D$500)*(Items!$D$2:$D$500-SUMIFS(Payments!$D$2:$D$5000,Payments!$B$2:$B$5000,$A31,Payments!$C$2:$C$5000,Items!$A$2:$A$500))))</f>
        <v/>
      </c>
      <c r="E31" s="17">
        <f>IF(A31="","",IF(D31&lt;=0,"مدفوع ✅","عليه "&amp;D31))</f>
        <v/>
      </c>
      <c r="F31" s="17">
        <f>IF(A31="","",IF(D31&gt;0,HYPERLINK("https://wa.me/"&amp;Apartments!C31&amp;"?text="&amp;_xlfn.ENCODEURL("السلام عليكم، شقة "&amp;A31&amp;". نشكر لكم مساهمتكم في صندوق عمارة 220 حي القرنفل، فهي استثمار في راحة الجميع وسلامة المبنى. يتبقى من إسهامكم "&amp;D31&amp;" جنيه، ويسعدنا متابعتكم للتفاصيل والمساهمة عبر: "&amp;$J$2),"ارسل تنبيه"),""))</f>
        <v/>
      </c>
    </row>
  </sheetData>
  <conditionalFormatting sqref="A2:F31">
    <cfRule type="expression" rank="0" priority="2" equalAverage="0" aboveAverage="0" dxfId="0" text="" percent="0" bottom="0">
      <formula>AND($A2&lt;&gt;"",N($D2)&gt;0)</formula>
    </cfRule>
    <cfRule type="expression" rank="0" priority="3" equalAverage="0" aboveAverage="0" dxfId="1" text="" percent="0" bottom="0">
      <formula>AND($A2&lt;&gt;"",N($D2)&lt;=0)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C19"/>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 min="1" max="1"/>
    <col width="50" customWidth="1" style="11" min="2" max="2"/>
    <col width="55" customWidth="1" style="11" min="3" max="3"/>
  </cols>
  <sheetData>
    <row r="1" ht="15" customHeight="1" s="12">
      <c r="A1" s="13" t="inlineStr">
        <is>
          <t>الإعداد (لا تغيّر الاسم)</t>
        </is>
      </c>
      <c r="B1" s="13" t="inlineStr">
        <is>
          <t>القيمة</t>
        </is>
      </c>
      <c r="C1" s="13" t="inlineStr">
        <is>
          <t>ملاحظة</t>
        </is>
      </c>
    </row>
    <row r="2" ht="15" customHeight="1" s="12">
      <c r="A2" s="17" t="inlineStr">
        <is>
          <t>اسم أمين الصندوق</t>
        </is>
      </c>
      <c r="B2" s="20" t="inlineStr">
        <is>
          <t>أمين الصندوق</t>
        </is>
      </c>
      <c r="C2" s="21" t="inlineStr">
        <is>
          <t>يظهر للسكان</t>
        </is>
      </c>
    </row>
    <row r="3" ht="15" customHeight="1" s="12">
      <c r="A3" s="17" t="inlineStr">
        <is>
          <t>موبايل أمين الصندوق</t>
        </is>
      </c>
      <c r="B3" s="20" t="inlineStr">
        <is>
          <t>201000000000</t>
        </is>
      </c>
      <c r="C3" s="21" t="inlineStr">
        <is>
          <t>بصيغة دولية بدون + (لزر "دفعت")</t>
        </is>
      </c>
    </row>
    <row r="4" ht="39.55" customHeight="1" s="12">
      <c r="A4" s="17" t="inlineStr">
        <is>
          <t>بيانات الدفع</t>
        </is>
      </c>
      <c r="B4" s="20" t="inlineStr">
        <is>
          <t>أو نقداً لأمين الصندوق</t>
        </is>
      </c>
      <c r="C4" s="21" t="inlineStr">
        <is>
          <t>ملاحظة اختيارية تظهر تحت وسائل الدفع (بدون زر نسخ)</t>
        </is>
      </c>
    </row>
    <row r="5" ht="15" customHeight="1" s="12">
      <c r="A5" s="17" t="inlineStr">
        <is>
          <t>إعلان أعلى الصفحة</t>
        </is>
      </c>
      <c r="B5" s="20" t="n"/>
      <c r="C5" s="21" t="inlineStr">
        <is>
          <t>اتركه فاضي لإخفائه</t>
        </is>
      </c>
    </row>
    <row r="6" ht="15" customHeight="1" s="12">
      <c r="A6" s="17" t="inlineStr">
        <is>
          <t>إيميل التقارير</t>
        </is>
      </c>
      <c r="B6" s="20" t="n"/>
      <c r="C6" s="21" t="inlineStr">
        <is>
          <t>فاضي = إيميل حسابك</t>
        </is>
      </c>
    </row>
    <row r="7" ht="15" customHeight="1" s="12">
      <c r="A7" s="17" t="inlineStr">
        <is>
          <t>إظهار رصيد الصندوق</t>
        </is>
      </c>
      <c r="B7" s="20" t="inlineStr">
        <is>
          <t>لا</t>
        </is>
      </c>
      <c r="C7" s="21" t="inlineStr">
        <is>
          <t>اختر نعم أو لا</t>
        </is>
      </c>
    </row>
    <row r="8" ht="15" customHeight="1" s="12">
      <c r="A8" s="17" t="inlineStr">
        <is>
          <t>إظهار تفاصيل المصروفات</t>
        </is>
      </c>
      <c r="B8" s="20" t="inlineStr">
        <is>
          <t>لا</t>
        </is>
      </c>
      <c r="C8" s="21" t="inlineStr">
        <is>
          <t>تفاصيل بدون فواتير. اختر نعم أو لا</t>
        </is>
      </c>
    </row>
    <row r="9" ht="15" customHeight="1" s="12">
      <c r="A9" s="17" t="inlineStr">
        <is>
          <t>رابط مجلد الإيصالات</t>
        </is>
      </c>
      <c r="B9" s="20" t="n"/>
      <c r="C9" s="21" t="inlineStr">
        <is>
          <t>يتعبأ تلقائياً بعد installTrigger</t>
        </is>
      </c>
    </row>
    <row r="10" ht="15" customHeight="1" s="12">
      <c r="A10" s="17" t="inlineStr">
        <is>
          <t>رابط مجلد الفواتير</t>
        </is>
      </c>
      <c r="B10" s="20" t="n"/>
      <c r="C10" s="21" t="inlineStr">
        <is>
          <t>يتعبأ تلقائياً (للاحتفاظ بها، غير مشارك)</t>
        </is>
      </c>
    </row>
    <row r="11">
      <c r="A11" s="17" t="inlineStr">
        <is>
          <t>نوع وسيلة الدفع 1</t>
        </is>
      </c>
      <c r="B11" s="20" t="inlineStr">
        <is>
          <t>إنستا باي</t>
        </is>
      </c>
      <c r="C11" s="21" t="inlineStr">
        <is>
          <t>اختر النوع (أو اتركه فاضي)</t>
        </is>
      </c>
    </row>
    <row r="12">
      <c r="A12" s="17" t="inlineStr">
        <is>
          <t>رقم وسيلة الدفع 1</t>
        </is>
      </c>
      <c r="B12" s="20" t="inlineStr">
        <is>
          <t>example@instapay</t>
        </is>
      </c>
      <c r="C12" s="21" t="inlineStr">
        <is>
          <t>الرقم أو العنوان فقط (هو اللي يتنسخ). فاضي = تختفي البطاقة</t>
        </is>
      </c>
    </row>
    <row r="13">
      <c r="A13" s="17" t="inlineStr">
        <is>
          <t>نوع وسيلة الدفع 2</t>
        </is>
      </c>
      <c r="B13" s="20" t="inlineStr">
        <is>
          <t>محفظة إلكترونية</t>
        </is>
      </c>
      <c r="C13" s="21" t="inlineStr">
        <is>
          <t>اختر النوع (أو اتركه فاضي)</t>
        </is>
      </c>
    </row>
    <row r="14">
      <c r="A14" s="17" t="inlineStr">
        <is>
          <t>رقم وسيلة الدفع 2</t>
        </is>
      </c>
      <c r="B14" s="20" t="inlineStr">
        <is>
          <t>01000000000</t>
        </is>
      </c>
      <c r="C14" s="21" t="inlineStr">
        <is>
          <t>الرقم فقط. فاضي = تختفي البطاقة</t>
        </is>
      </c>
    </row>
    <row r="15">
      <c r="A15" s="17" t="inlineStr">
        <is>
          <t>اسم مسؤول الصيانة</t>
        </is>
      </c>
      <c r="B15" s="20" t="n"/>
      <c r="C15" s="21" t="inlineStr">
        <is>
          <t>اسمه يظهر له في الصفحة (اختياري)</t>
        </is>
      </c>
    </row>
    <row r="16">
      <c r="A16" s="17" t="inlineStr">
        <is>
          <t>رمز مسؤول الصيانة</t>
        </is>
      </c>
      <c r="B16" s="20" t="n"/>
      <c r="C16" s="21" t="inlineStr">
        <is>
          <t>6 خانات على الأقل (أرقام أو حروف إنجليزية). فاضي أو أقصر = صفحة الصيانة مقفولة</t>
        </is>
      </c>
    </row>
    <row r="17">
      <c r="A17" s="17" t="inlineStr">
        <is>
          <t>رمز الإدارة</t>
        </is>
      </c>
      <c r="B17" s="20" t="n"/>
      <c r="C17" s="21" t="inlineStr">
        <is>
          <t>رمز دخول لوحة أمين الصندوق (admin.html): 8 خانات على الأقل (أرقام أو حروف إنجليزية). فاضي أو أقصر = اللوحة مقفولة</t>
        </is>
      </c>
    </row>
    <row r="18">
      <c r="A18" s="17" t="inlineStr">
        <is>
          <t>إظهار تحصيل المشروع</t>
        </is>
      </c>
      <c r="B18" s="20" t="inlineStr">
        <is>
          <t>لا</t>
        </is>
      </c>
      <c r="C18" s="21" t="inlineStr">
        <is>
          <t>نعم = يرى السكان ما تم تحصيله من المشروع المفتوح (يمكن تغييره من لوحة الإدارة)</t>
        </is>
      </c>
    </row>
    <row r="19">
      <c r="A19" s="17" t="inlineStr">
        <is>
          <t>إظهار جملة اليوم</t>
        </is>
      </c>
      <c r="B19" s="20" t="inlineStr">
        <is>
          <t>لا</t>
        </is>
      </c>
      <c r="C19" s="21" t="inlineStr">
        <is>
          <t>نعم = تظهر جملة يومية في صفحة الساكن (يمكن تغييره من لوحة الإدارة)</t>
        </is>
      </c>
    </row>
  </sheetData>
  <dataValidations count="3">
    <dataValidation sqref="B7:B8" showDropDown="0" showInputMessage="0" showErrorMessage="0" allowBlank="0" type="list" errorStyle="stop" operator="between">
      <formula1>"نعم,لا"</formula1>
      <formula2>0</formula2>
    </dataValidation>
    <dataValidation sqref="B11 B13" showDropDown="0" showInputMessage="0" showErrorMessage="0" allowBlank="1" type="list">
      <formula1>"إنستا باي,محفظة إلكترونية"</formula1>
    </dataValidation>
    <dataValidation sqref="B18 B19" showDropDown="0" showInputMessage="0" showErrorMessage="0" allowBlank="0" type="list">
      <formula1>"نعم,لا"</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1" min="1" max="1"/>
    <col width="10" customWidth="1" style="11" min="2" max="2"/>
    <col width="14" customWidth="1" style="11" min="3" max="3"/>
    <col width="12" customWidth="1" style="11" min="4" max="4"/>
    <col width="36" customWidth="1" style="11" min="5" max="5"/>
    <col width="50" customWidth="1" style="11" min="6" max="6"/>
    <col width="24" customWidth="1" style="11" min="7" max="7"/>
    <col hidden="1" width="13" customWidth="1" style="12" min="9" max="9"/>
  </cols>
  <sheetData>
    <row r="1" ht="15" customHeight="1" s="12">
      <c r="A1" s="13" t="inlineStr">
        <is>
          <t>التاريخ</t>
        </is>
      </c>
      <c r="B1" s="13" t="inlineStr">
        <is>
          <t>الشقة</t>
        </is>
      </c>
      <c r="C1" s="13" t="inlineStr">
        <is>
          <t>كود البند</t>
        </is>
      </c>
      <c r="D1" s="13" t="inlineStr">
        <is>
          <t>المبلغ</t>
        </is>
      </c>
      <c r="E1" s="13" t="inlineStr">
        <is>
          <t>الحالة (قيد المراجعة / تم التأكيد / مرفوض)</t>
        </is>
      </c>
      <c r="F1" s="13" t="inlineStr">
        <is>
          <t>رابط الإيصال</t>
        </is>
      </c>
      <c r="G1" s="13" t="inlineStr">
        <is>
          <t>تاريخ التسجيل في Payments</t>
        </is>
      </c>
      <c r="H1" s="13" t="inlineStr">
        <is>
          <t>ملاحظة الرفض (اختياري)</t>
        </is>
      </c>
      <c r="I1" s="13" t="inlineStr">
        <is>
          <t>معرّف (لا تغيّره)</t>
        </is>
      </c>
    </row>
  </sheetData>
  <dataValidations count="1">
    <dataValidation sqref="E2:E500" showDropDown="0" showInputMessage="0" showErrorMessage="0" allowBlank="1" type="list" errorStyle="stop" operator="between">
      <formula1>"قيد المراجعة,تم التأكيد,مرفوض"</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J500"/>
  <sheetViews>
    <sheetView rightToLeft="1" workbookViewId="0">
      <selection activeCell="A1" sqref="A1"/>
    </sheetView>
  </sheetViews>
  <sheetFormatPr baseColWidth="8" defaultRowHeight="15"/>
  <cols>
    <col width="14" customWidth="1" style="12" min="1" max="1"/>
    <col width="28" customWidth="1" style="12" min="2" max="2"/>
    <col width="34" customWidth="1" style="12" min="3" max="3"/>
    <col width="14" customWidth="1" style="12" min="4" max="4"/>
    <col width="22" customWidth="1" style="12" min="5" max="5"/>
    <col width="12" customWidth="1" style="12" min="6" max="6"/>
    <col width="28" customWidth="1" style="12" min="7" max="7"/>
    <col width="34" customWidth="1" style="12" min="8" max="8"/>
    <col width="18" customWidth="1" style="12" min="9" max="9"/>
    <col hidden="1" width="14" customWidth="1" style="12" min="10" max="10"/>
  </cols>
  <sheetData>
    <row r="1">
      <c r="A1" s="13" t="inlineStr">
        <is>
          <t>تاريخ الإضافة</t>
        </is>
      </c>
      <c r="B1" s="13" t="inlineStr">
        <is>
          <t>المهمة</t>
        </is>
      </c>
      <c r="C1" s="13" t="inlineStr">
        <is>
          <t>تفاصيل (اختياري)</t>
        </is>
      </c>
      <c r="D1" s="13" t="inlineStr">
        <is>
          <t>الموعد</t>
        </is>
      </c>
      <c r="E1" s="13" t="inlineStr">
        <is>
          <t>الحالة (جديدة / جارية / منتهية / ملغاة)</t>
        </is>
      </c>
      <c r="F1" s="13" t="inlineStr">
        <is>
          <t>التكلفة</t>
        </is>
      </c>
      <c r="G1" s="13" t="inlineStr">
        <is>
          <t>ملاحظة المسؤول</t>
        </is>
      </c>
      <c r="H1" s="13" t="inlineStr">
        <is>
          <t>روابط الصور/الفواتير</t>
        </is>
      </c>
      <c r="I1" s="13" t="inlineStr">
        <is>
          <t>آخر تحديث</t>
        </is>
      </c>
      <c r="J1" s="13" t="inlineStr">
        <is>
          <t>معرّف (لا تغيّره)</t>
        </is>
      </c>
    </row>
    <row r="2">
      <c r="A2" s="22" t="n"/>
      <c r="D2" s="22" t="n"/>
      <c r="I2" s="23" t="n"/>
    </row>
    <row r="3">
      <c r="A3" s="22" t="n"/>
      <c r="D3" s="22" t="n"/>
      <c r="I3" s="23" t="n"/>
    </row>
    <row r="4">
      <c r="A4" s="22" t="n"/>
      <c r="D4" s="22" t="n"/>
      <c r="I4" s="23" t="n"/>
    </row>
    <row r="5">
      <c r="A5" s="22" t="n"/>
      <c r="D5" s="22" t="n"/>
      <c r="I5" s="23" t="n"/>
    </row>
    <row r="6">
      <c r="A6" s="22" t="n"/>
      <c r="D6" s="22" t="n"/>
      <c r="I6" s="23" t="n"/>
    </row>
    <row r="7">
      <c r="A7" s="22" t="n"/>
      <c r="D7" s="22" t="n"/>
      <c r="I7" s="23" t="n"/>
    </row>
    <row r="8">
      <c r="A8" s="22" t="n"/>
      <c r="D8" s="22" t="n"/>
      <c r="I8" s="23" t="n"/>
    </row>
    <row r="9">
      <c r="A9" s="22" t="n"/>
      <c r="D9" s="22" t="n"/>
      <c r="I9" s="23" t="n"/>
    </row>
    <row r="10">
      <c r="A10" s="22" t="n"/>
      <c r="D10" s="22" t="n"/>
      <c r="I10" s="23" t="n"/>
    </row>
    <row r="11">
      <c r="A11" s="22" t="n"/>
      <c r="D11" s="22" t="n"/>
      <c r="I11" s="23" t="n"/>
    </row>
    <row r="12">
      <c r="A12" s="22" t="n"/>
      <c r="D12" s="22" t="n"/>
      <c r="I12" s="23" t="n"/>
    </row>
    <row r="13">
      <c r="A13" s="22" t="n"/>
      <c r="D13" s="22" t="n"/>
      <c r="I13" s="23" t="n"/>
    </row>
    <row r="14">
      <c r="A14" s="22" t="n"/>
      <c r="D14" s="22" t="n"/>
      <c r="I14" s="23" t="n"/>
    </row>
    <row r="15">
      <c r="A15" s="22" t="n"/>
      <c r="D15" s="22" t="n"/>
      <c r="I15" s="23" t="n"/>
    </row>
    <row r="16">
      <c r="A16" s="22" t="n"/>
      <c r="D16" s="22" t="n"/>
      <c r="I16" s="23" t="n"/>
    </row>
    <row r="17">
      <c r="A17" s="22" t="n"/>
      <c r="D17" s="22" t="n"/>
      <c r="I17" s="23" t="n"/>
    </row>
    <row r="18">
      <c r="A18" s="22" t="n"/>
      <c r="D18" s="22" t="n"/>
      <c r="I18" s="23" t="n"/>
    </row>
    <row r="19">
      <c r="A19" s="22" t="n"/>
      <c r="D19" s="22" t="n"/>
      <c r="I19" s="23" t="n"/>
    </row>
    <row r="20">
      <c r="A20" s="22" t="n"/>
      <c r="D20" s="22" t="n"/>
      <c r="I20" s="23" t="n"/>
    </row>
    <row r="21">
      <c r="A21" s="22" t="n"/>
      <c r="D21" s="22" t="n"/>
      <c r="I21" s="23" t="n"/>
    </row>
    <row r="22">
      <c r="A22" s="22" t="n"/>
      <c r="D22" s="22" t="n"/>
      <c r="I22" s="23" t="n"/>
    </row>
    <row r="23">
      <c r="A23" s="22" t="n"/>
      <c r="D23" s="22" t="n"/>
      <c r="I23" s="23" t="n"/>
    </row>
    <row r="24">
      <c r="A24" s="22" t="n"/>
      <c r="D24" s="22" t="n"/>
      <c r="I24" s="23" t="n"/>
    </row>
    <row r="25">
      <c r="A25" s="22" t="n"/>
      <c r="D25" s="22" t="n"/>
      <c r="I25" s="23" t="n"/>
    </row>
    <row r="26">
      <c r="A26" s="22" t="n"/>
      <c r="D26" s="22" t="n"/>
      <c r="I26" s="23" t="n"/>
    </row>
    <row r="27">
      <c r="A27" s="22" t="n"/>
      <c r="D27" s="22" t="n"/>
      <c r="I27" s="23" t="n"/>
    </row>
    <row r="28">
      <c r="A28" s="22" t="n"/>
      <c r="D28" s="22" t="n"/>
      <c r="I28" s="23" t="n"/>
    </row>
    <row r="29">
      <c r="A29" s="22" t="n"/>
      <c r="D29" s="22" t="n"/>
      <c r="I29" s="23" t="n"/>
    </row>
    <row r="30">
      <c r="A30" s="22" t="n"/>
      <c r="D30" s="22" t="n"/>
      <c r="I30" s="23" t="n"/>
    </row>
    <row r="31">
      <c r="A31" s="22" t="n"/>
      <c r="D31" s="22" t="n"/>
      <c r="I31" s="23" t="n"/>
    </row>
    <row r="32">
      <c r="A32" s="22" t="n"/>
      <c r="D32" s="22" t="n"/>
      <c r="I32" s="23" t="n"/>
    </row>
    <row r="33">
      <c r="A33" s="22" t="n"/>
      <c r="D33" s="22" t="n"/>
      <c r="I33" s="23" t="n"/>
    </row>
    <row r="34">
      <c r="A34" s="22" t="n"/>
      <c r="D34" s="22" t="n"/>
      <c r="I34" s="23" t="n"/>
    </row>
    <row r="35">
      <c r="A35" s="22" t="n"/>
      <c r="D35" s="22" t="n"/>
      <c r="I35" s="23" t="n"/>
    </row>
    <row r="36">
      <c r="A36" s="22" t="n"/>
      <c r="D36" s="22" t="n"/>
      <c r="I36" s="23" t="n"/>
    </row>
    <row r="37">
      <c r="A37" s="22" t="n"/>
      <c r="D37" s="22" t="n"/>
      <c r="I37" s="23" t="n"/>
    </row>
    <row r="38">
      <c r="A38" s="22" t="n"/>
      <c r="D38" s="22" t="n"/>
      <c r="I38" s="23" t="n"/>
    </row>
    <row r="39">
      <c r="A39" s="22" t="n"/>
      <c r="D39" s="22" t="n"/>
      <c r="I39" s="23" t="n"/>
    </row>
    <row r="40">
      <c r="A40" s="22" t="n"/>
      <c r="D40" s="22" t="n"/>
      <c r="I40" s="23" t="n"/>
    </row>
    <row r="41">
      <c r="A41" s="22" t="n"/>
      <c r="D41" s="22" t="n"/>
      <c r="I41" s="23" t="n"/>
    </row>
    <row r="42">
      <c r="A42" s="22" t="n"/>
      <c r="D42" s="22" t="n"/>
      <c r="I42" s="23" t="n"/>
    </row>
    <row r="43">
      <c r="A43" s="22" t="n"/>
      <c r="D43" s="22" t="n"/>
      <c r="I43" s="23" t="n"/>
    </row>
    <row r="44">
      <c r="A44" s="22" t="n"/>
      <c r="D44" s="22" t="n"/>
      <c r="I44" s="23" t="n"/>
    </row>
    <row r="45">
      <c r="A45" s="22" t="n"/>
      <c r="D45" s="22" t="n"/>
      <c r="I45" s="23" t="n"/>
    </row>
    <row r="46">
      <c r="A46" s="22" t="n"/>
      <c r="D46" s="22" t="n"/>
      <c r="I46" s="23" t="n"/>
    </row>
    <row r="47">
      <c r="A47" s="22" t="n"/>
      <c r="D47" s="22" t="n"/>
      <c r="I47" s="23" t="n"/>
    </row>
    <row r="48">
      <c r="A48" s="22" t="n"/>
      <c r="D48" s="22" t="n"/>
      <c r="I48" s="23" t="n"/>
    </row>
    <row r="49">
      <c r="A49" s="22" t="n"/>
      <c r="D49" s="22" t="n"/>
      <c r="I49" s="23" t="n"/>
    </row>
    <row r="50">
      <c r="A50" s="22" t="n"/>
      <c r="D50" s="22" t="n"/>
      <c r="I50" s="23" t="n"/>
    </row>
    <row r="51">
      <c r="A51" s="22" t="n"/>
      <c r="D51" s="22" t="n"/>
      <c r="I51" s="23" t="n"/>
    </row>
    <row r="52">
      <c r="A52" s="22" t="n"/>
      <c r="D52" s="22" t="n"/>
      <c r="I52" s="23" t="n"/>
    </row>
    <row r="53">
      <c r="A53" s="22" t="n"/>
      <c r="D53" s="22" t="n"/>
      <c r="I53" s="23" t="n"/>
    </row>
    <row r="54">
      <c r="A54" s="22" t="n"/>
      <c r="D54" s="22" t="n"/>
      <c r="I54" s="23" t="n"/>
    </row>
    <row r="55">
      <c r="A55" s="22" t="n"/>
      <c r="D55" s="22" t="n"/>
      <c r="I55" s="23" t="n"/>
    </row>
    <row r="56">
      <c r="A56" s="22" t="n"/>
      <c r="D56" s="22" t="n"/>
      <c r="I56" s="23" t="n"/>
    </row>
    <row r="57">
      <c r="A57" s="22" t="n"/>
      <c r="D57" s="22" t="n"/>
      <c r="I57" s="23" t="n"/>
    </row>
    <row r="58">
      <c r="A58" s="22" t="n"/>
      <c r="D58" s="22" t="n"/>
      <c r="I58" s="23" t="n"/>
    </row>
    <row r="59">
      <c r="A59" s="22" t="n"/>
      <c r="D59" s="22" t="n"/>
      <c r="I59" s="23" t="n"/>
    </row>
    <row r="60">
      <c r="A60" s="22" t="n"/>
      <c r="D60" s="22" t="n"/>
      <c r="I60" s="23" t="n"/>
    </row>
    <row r="61">
      <c r="A61" s="22" t="n"/>
      <c r="D61" s="22" t="n"/>
      <c r="I61" s="23" t="n"/>
    </row>
    <row r="62">
      <c r="A62" s="22" t="n"/>
      <c r="D62" s="22" t="n"/>
      <c r="I62" s="23" t="n"/>
    </row>
    <row r="63">
      <c r="A63" s="22" t="n"/>
      <c r="D63" s="22" t="n"/>
      <c r="I63" s="23" t="n"/>
    </row>
    <row r="64">
      <c r="A64" s="22" t="n"/>
      <c r="D64" s="22" t="n"/>
      <c r="I64" s="23" t="n"/>
    </row>
    <row r="65">
      <c r="A65" s="22" t="n"/>
      <c r="D65" s="22" t="n"/>
      <c r="I65" s="23" t="n"/>
    </row>
    <row r="66">
      <c r="A66" s="22" t="n"/>
      <c r="D66" s="22" t="n"/>
      <c r="I66" s="23" t="n"/>
    </row>
    <row r="67">
      <c r="A67" s="22" t="n"/>
      <c r="D67" s="22" t="n"/>
      <c r="I67" s="23" t="n"/>
    </row>
    <row r="68">
      <c r="A68" s="22" t="n"/>
      <c r="D68" s="22" t="n"/>
      <c r="I68" s="23" t="n"/>
    </row>
    <row r="69">
      <c r="A69" s="22" t="n"/>
      <c r="D69" s="22" t="n"/>
      <c r="I69" s="23" t="n"/>
    </row>
    <row r="70">
      <c r="A70" s="22" t="n"/>
      <c r="D70" s="22" t="n"/>
      <c r="I70" s="23" t="n"/>
    </row>
    <row r="71">
      <c r="A71" s="22" t="n"/>
      <c r="D71" s="22" t="n"/>
      <c r="I71" s="23" t="n"/>
    </row>
    <row r="72">
      <c r="A72" s="22" t="n"/>
      <c r="D72" s="22" t="n"/>
      <c r="I72" s="23" t="n"/>
    </row>
    <row r="73">
      <c r="A73" s="22" t="n"/>
      <c r="D73" s="22" t="n"/>
      <c r="I73" s="23" t="n"/>
    </row>
    <row r="74">
      <c r="A74" s="22" t="n"/>
      <c r="D74" s="22" t="n"/>
      <c r="I74" s="23" t="n"/>
    </row>
    <row r="75">
      <c r="A75" s="22" t="n"/>
      <c r="D75" s="22" t="n"/>
      <c r="I75" s="23" t="n"/>
    </row>
    <row r="76">
      <c r="A76" s="22" t="n"/>
      <c r="D76" s="22" t="n"/>
      <c r="I76" s="23" t="n"/>
    </row>
    <row r="77">
      <c r="A77" s="22" t="n"/>
      <c r="D77" s="22" t="n"/>
      <c r="I77" s="23" t="n"/>
    </row>
    <row r="78">
      <c r="A78" s="22" t="n"/>
      <c r="D78" s="22" t="n"/>
      <c r="I78" s="23" t="n"/>
    </row>
    <row r="79">
      <c r="A79" s="22" t="n"/>
      <c r="D79" s="22" t="n"/>
      <c r="I79" s="23" t="n"/>
    </row>
    <row r="80">
      <c r="A80" s="22" t="n"/>
      <c r="D80" s="22" t="n"/>
      <c r="I80" s="23" t="n"/>
    </row>
    <row r="81">
      <c r="A81" s="22" t="n"/>
      <c r="D81" s="22" t="n"/>
      <c r="I81" s="23" t="n"/>
    </row>
    <row r="82">
      <c r="A82" s="22" t="n"/>
      <c r="D82" s="22" t="n"/>
      <c r="I82" s="23" t="n"/>
    </row>
    <row r="83">
      <c r="A83" s="22" t="n"/>
      <c r="D83" s="22" t="n"/>
      <c r="I83" s="23" t="n"/>
    </row>
    <row r="84">
      <c r="A84" s="22" t="n"/>
      <c r="D84" s="22" t="n"/>
      <c r="I84" s="23" t="n"/>
    </row>
    <row r="85">
      <c r="A85" s="22" t="n"/>
      <c r="D85" s="22" t="n"/>
      <c r="I85" s="23" t="n"/>
    </row>
    <row r="86">
      <c r="A86" s="22" t="n"/>
      <c r="D86" s="22" t="n"/>
      <c r="I86" s="23" t="n"/>
    </row>
    <row r="87">
      <c r="A87" s="22" t="n"/>
      <c r="D87" s="22" t="n"/>
      <c r="I87" s="23" t="n"/>
    </row>
    <row r="88">
      <c r="A88" s="22" t="n"/>
      <c r="D88" s="22" t="n"/>
      <c r="I88" s="23" t="n"/>
    </row>
    <row r="89">
      <c r="A89" s="22" t="n"/>
      <c r="D89" s="22" t="n"/>
      <c r="I89" s="23" t="n"/>
    </row>
    <row r="90">
      <c r="A90" s="22" t="n"/>
      <c r="D90" s="22" t="n"/>
      <c r="I90" s="23" t="n"/>
    </row>
    <row r="91">
      <c r="A91" s="22" t="n"/>
      <c r="D91" s="22" t="n"/>
      <c r="I91" s="23" t="n"/>
    </row>
    <row r="92">
      <c r="A92" s="22" t="n"/>
      <c r="D92" s="22" t="n"/>
      <c r="I92" s="23" t="n"/>
    </row>
    <row r="93">
      <c r="A93" s="22" t="n"/>
      <c r="D93" s="22" t="n"/>
      <c r="I93" s="23" t="n"/>
    </row>
    <row r="94">
      <c r="A94" s="22" t="n"/>
      <c r="D94" s="22" t="n"/>
      <c r="I94" s="23" t="n"/>
    </row>
    <row r="95">
      <c r="A95" s="22" t="n"/>
      <c r="D95" s="22" t="n"/>
      <c r="I95" s="23" t="n"/>
    </row>
    <row r="96">
      <c r="A96" s="22" t="n"/>
      <c r="D96" s="22" t="n"/>
      <c r="I96" s="23" t="n"/>
    </row>
    <row r="97">
      <c r="A97" s="22" t="n"/>
      <c r="D97" s="22" t="n"/>
      <c r="I97" s="23" t="n"/>
    </row>
    <row r="98">
      <c r="A98" s="22" t="n"/>
      <c r="D98" s="22" t="n"/>
      <c r="I98" s="23" t="n"/>
    </row>
    <row r="99">
      <c r="A99" s="22" t="n"/>
      <c r="D99" s="22" t="n"/>
      <c r="I99" s="23" t="n"/>
    </row>
    <row r="100">
      <c r="A100" s="22" t="n"/>
      <c r="D100" s="22" t="n"/>
      <c r="I100" s="23" t="n"/>
    </row>
    <row r="101">
      <c r="A101" s="22" t="n"/>
      <c r="D101" s="22" t="n"/>
      <c r="I101" s="23" t="n"/>
    </row>
    <row r="102">
      <c r="A102" s="22" t="n"/>
      <c r="D102" s="22" t="n"/>
      <c r="I102" s="23" t="n"/>
    </row>
    <row r="103">
      <c r="A103" s="22" t="n"/>
      <c r="D103" s="22" t="n"/>
      <c r="I103" s="23" t="n"/>
    </row>
    <row r="104">
      <c r="A104" s="22" t="n"/>
      <c r="D104" s="22" t="n"/>
      <c r="I104" s="23" t="n"/>
    </row>
    <row r="105">
      <c r="A105" s="22" t="n"/>
      <c r="D105" s="22" t="n"/>
      <c r="I105" s="23" t="n"/>
    </row>
    <row r="106">
      <c r="A106" s="22" t="n"/>
      <c r="D106" s="22" t="n"/>
      <c r="I106" s="23" t="n"/>
    </row>
    <row r="107">
      <c r="A107" s="22" t="n"/>
      <c r="D107" s="22" t="n"/>
      <c r="I107" s="23" t="n"/>
    </row>
    <row r="108">
      <c r="A108" s="22" t="n"/>
      <c r="D108" s="22" t="n"/>
      <c r="I108" s="23" t="n"/>
    </row>
    <row r="109">
      <c r="A109" s="22" t="n"/>
      <c r="D109" s="22" t="n"/>
      <c r="I109" s="23" t="n"/>
    </row>
    <row r="110">
      <c r="A110" s="22" t="n"/>
      <c r="D110" s="22" t="n"/>
      <c r="I110" s="23" t="n"/>
    </row>
    <row r="111">
      <c r="A111" s="22" t="n"/>
      <c r="D111" s="22" t="n"/>
      <c r="I111" s="23" t="n"/>
    </row>
    <row r="112">
      <c r="A112" s="22" t="n"/>
      <c r="D112" s="22" t="n"/>
      <c r="I112" s="23" t="n"/>
    </row>
    <row r="113">
      <c r="A113" s="22" t="n"/>
      <c r="D113" s="22" t="n"/>
      <c r="I113" s="23" t="n"/>
    </row>
    <row r="114">
      <c r="A114" s="22" t="n"/>
      <c r="D114" s="22" t="n"/>
      <c r="I114" s="23" t="n"/>
    </row>
    <row r="115">
      <c r="A115" s="22" t="n"/>
      <c r="D115" s="22" t="n"/>
      <c r="I115" s="23" t="n"/>
    </row>
    <row r="116">
      <c r="A116" s="22" t="n"/>
      <c r="D116" s="22" t="n"/>
      <c r="I116" s="23" t="n"/>
    </row>
    <row r="117">
      <c r="A117" s="22" t="n"/>
      <c r="D117" s="22" t="n"/>
      <c r="I117" s="23" t="n"/>
    </row>
    <row r="118">
      <c r="A118" s="22" t="n"/>
      <c r="D118" s="22" t="n"/>
      <c r="I118" s="23" t="n"/>
    </row>
    <row r="119">
      <c r="A119" s="22" t="n"/>
      <c r="D119" s="22" t="n"/>
      <c r="I119" s="23" t="n"/>
    </row>
    <row r="120">
      <c r="A120" s="22" t="n"/>
      <c r="D120" s="22" t="n"/>
      <c r="I120" s="23" t="n"/>
    </row>
    <row r="121">
      <c r="A121" s="22" t="n"/>
      <c r="D121" s="22" t="n"/>
      <c r="I121" s="23" t="n"/>
    </row>
    <row r="122">
      <c r="A122" s="22" t="n"/>
      <c r="D122" s="22" t="n"/>
      <c r="I122" s="23" t="n"/>
    </row>
    <row r="123">
      <c r="A123" s="22" t="n"/>
      <c r="D123" s="22" t="n"/>
      <c r="I123" s="23" t="n"/>
    </row>
    <row r="124">
      <c r="A124" s="22" t="n"/>
      <c r="D124" s="22" t="n"/>
      <c r="I124" s="23" t="n"/>
    </row>
    <row r="125">
      <c r="A125" s="22" t="n"/>
      <c r="D125" s="22" t="n"/>
      <c r="I125" s="23" t="n"/>
    </row>
    <row r="126">
      <c r="A126" s="22" t="n"/>
      <c r="D126" s="22" t="n"/>
      <c r="I126" s="23" t="n"/>
    </row>
    <row r="127">
      <c r="A127" s="22" t="n"/>
      <c r="D127" s="22" t="n"/>
      <c r="I127" s="23" t="n"/>
    </row>
    <row r="128">
      <c r="A128" s="22" t="n"/>
      <c r="D128" s="22" t="n"/>
      <c r="I128" s="23" t="n"/>
    </row>
    <row r="129">
      <c r="A129" s="22" t="n"/>
      <c r="D129" s="22" t="n"/>
      <c r="I129" s="23" t="n"/>
    </row>
    <row r="130">
      <c r="A130" s="22" t="n"/>
      <c r="D130" s="22" t="n"/>
      <c r="I130" s="23" t="n"/>
    </row>
    <row r="131">
      <c r="A131" s="22" t="n"/>
      <c r="D131" s="22" t="n"/>
      <c r="I131" s="23" t="n"/>
    </row>
    <row r="132">
      <c r="A132" s="22" t="n"/>
      <c r="D132" s="22" t="n"/>
      <c r="I132" s="23" t="n"/>
    </row>
    <row r="133">
      <c r="A133" s="22" t="n"/>
      <c r="D133" s="22" t="n"/>
      <c r="I133" s="23" t="n"/>
    </row>
    <row r="134">
      <c r="A134" s="22" t="n"/>
      <c r="D134" s="22" t="n"/>
      <c r="I134" s="23" t="n"/>
    </row>
    <row r="135">
      <c r="A135" s="22" t="n"/>
      <c r="D135" s="22" t="n"/>
      <c r="I135" s="23" t="n"/>
    </row>
    <row r="136">
      <c r="A136" s="22" t="n"/>
      <c r="D136" s="22" t="n"/>
      <c r="I136" s="23" t="n"/>
    </row>
    <row r="137">
      <c r="A137" s="22" t="n"/>
      <c r="D137" s="22" t="n"/>
      <c r="I137" s="23" t="n"/>
    </row>
    <row r="138">
      <c r="A138" s="22" t="n"/>
      <c r="D138" s="22" t="n"/>
      <c r="I138" s="23" t="n"/>
    </row>
    <row r="139">
      <c r="A139" s="22" t="n"/>
      <c r="D139" s="22" t="n"/>
      <c r="I139" s="23" t="n"/>
    </row>
    <row r="140">
      <c r="A140" s="22" t="n"/>
      <c r="D140" s="22" t="n"/>
      <c r="I140" s="23" t="n"/>
    </row>
    <row r="141">
      <c r="A141" s="22" t="n"/>
      <c r="D141" s="22" t="n"/>
      <c r="I141" s="23" t="n"/>
    </row>
    <row r="142">
      <c r="A142" s="22" t="n"/>
      <c r="D142" s="22" t="n"/>
      <c r="I142" s="23" t="n"/>
    </row>
    <row r="143">
      <c r="A143" s="22" t="n"/>
      <c r="D143" s="22" t="n"/>
      <c r="I143" s="23" t="n"/>
    </row>
    <row r="144">
      <c r="A144" s="22" t="n"/>
      <c r="D144" s="22" t="n"/>
      <c r="I144" s="23" t="n"/>
    </row>
    <row r="145">
      <c r="A145" s="22" t="n"/>
      <c r="D145" s="22" t="n"/>
      <c r="I145" s="23" t="n"/>
    </row>
    <row r="146">
      <c r="A146" s="22" t="n"/>
      <c r="D146" s="22" t="n"/>
      <c r="I146" s="23" t="n"/>
    </row>
    <row r="147">
      <c r="A147" s="22" t="n"/>
      <c r="D147" s="22" t="n"/>
      <c r="I147" s="23" t="n"/>
    </row>
    <row r="148">
      <c r="A148" s="22" t="n"/>
      <c r="D148" s="22" t="n"/>
      <c r="I148" s="23" t="n"/>
    </row>
    <row r="149">
      <c r="A149" s="22" t="n"/>
      <c r="D149" s="22" t="n"/>
      <c r="I149" s="23" t="n"/>
    </row>
    <row r="150">
      <c r="A150" s="22" t="n"/>
      <c r="D150" s="22" t="n"/>
      <c r="I150" s="23" t="n"/>
    </row>
    <row r="151">
      <c r="A151" s="22" t="n"/>
      <c r="D151" s="22" t="n"/>
      <c r="I151" s="23" t="n"/>
    </row>
    <row r="152">
      <c r="A152" s="22" t="n"/>
      <c r="D152" s="22" t="n"/>
      <c r="I152" s="23" t="n"/>
    </row>
    <row r="153">
      <c r="A153" s="22" t="n"/>
      <c r="D153" s="22" t="n"/>
      <c r="I153" s="23" t="n"/>
    </row>
    <row r="154">
      <c r="A154" s="22" t="n"/>
      <c r="D154" s="22" t="n"/>
      <c r="I154" s="23" t="n"/>
    </row>
    <row r="155">
      <c r="A155" s="22" t="n"/>
      <c r="D155" s="22" t="n"/>
      <c r="I155" s="23" t="n"/>
    </row>
    <row r="156">
      <c r="A156" s="22" t="n"/>
      <c r="D156" s="22" t="n"/>
      <c r="I156" s="23" t="n"/>
    </row>
    <row r="157">
      <c r="A157" s="22" t="n"/>
      <c r="D157" s="22" t="n"/>
      <c r="I157" s="23" t="n"/>
    </row>
    <row r="158">
      <c r="A158" s="22" t="n"/>
      <c r="D158" s="22" t="n"/>
      <c r="I158" s="23" t="n"/>
    </row>
    <row r="159">
      <c r="A159" s="22" t="n"/>
      <c r="D159" s="22" t="n"/>
      <c r="I159" s="23" t="n"/>
    </row>
    <row r="160">
      <c r="A160" s="22" t="n"/>
      <c r="D160" s="22" t="n"/>
      <c r="I160" s="23" t="n"/>
    </row>
    <row r="161">
      <c r="A161" s="22" t="n"/>
      <c r="D161" s="22" t="n"/>
      <c r="I161" s="23" t="n"/>
    </row>
    <row r="162">
      <c r="A162" s="22" t="n"/>
      <c r="D162" s="22" t="n"/>
      <c r="I162" s="23" t="n"/>
    </row>
    <row r="163">
      <c r="A163" s="22" t="n"/>
      <c r="D163" s="22" t="n"/>
      <c r="I163" s="23" t="n"/>
    </row>
    <row r="164">
      <c r="A164" s="22" t="n"/>
      <c r="D164" s="22" t="n"/>
      <c r="I164" s="23" t="n"/>
    </row>
    <row r="165">
      <c r="A165" s="22" t="n"/>
      <c r="D165" s="22" t="n"/>
      <c r="I165" s="23" t="n"/>
    </row>
    <row r="166">
      <c r="A166" s="22" t="n"/>
      <c r="D166" s="22" t="n"/>
      <c r="I166" s="23" t="n"/>
    </row>
    <row r="167">
      <c r="A167" s="22" t="n"/>
      <c r="D167" s="22" t="n"/>
      <c r="I167" s="23" t="n"/>
    </row>
    <row r="168">
      <c r="A168" s="22" t="n"/>
      <c r="D168" s="22" t="n"/>
      <c r="I168" s="23" t="n"/>
    </row>
    <row r="169">
      <c r="A169" s="22" t="n"/>
      <c r="D169" s="22" t="n"/>
      <c r="I169" s="23" t="n"/>
    </row>
    <row r="170">
      <c r="A170" s="22" t="n"/>
      <c r="D170" s="22" t="n"/>
      <c r="I170" s="23" t="n"/>
    </row>
    <row r="171">
      <c r="A171" s="22" t="n"/>
      <c r="D171" s="22" t="n"/>
      <c r="I171" s="23" t="n"/>
    </row>
    <row r="172">
      <c r="A172" s="22" t="n"/>
      <c r="D172" s="22" t="n"/>
      <c r="I172" s="23" t="n"/>
    </row>
    <row r="173">
      <c r="A173" s="22" t="n"/>
      <c r="D173" s="22" t="n"/>
      <c r="I173" s="23" t="n"/>
    </row>
    <row r="174">
      <c r="A174" s="22" t="n"/>
      <c r="D174" s="22" t="n"/>
      <c r="I174" s="23" t="n"/>
    </row>
    <row r="175">
      <c r="A175" s="22" t="n"/>
      <c r="D175" s="22" t="n"/>
      <c r="I175" s="23" t="n"/>
    </row>
    <row r="176">
      <c r="A176" s="22" t="n"/>
      <c r="D176" s="22" t="n"/>
      <c r="I176" s="23" t="n"/>
    </row>
    <row r="177">
      <c r="A177" s="22" t="n"/>
      <c r="D177" s="22" t="n"/>
      <c r="I177" s="23" t="n"/>
    </row>
    <row r="178">
      <c r="A178" s="22" t="n"/>
      <c r="D178" s="22" t="n"/>
      <c r="I178" s="23" t="n"/>
    </row>
    <row r="179">
      <c r="A179" s="22" t="n"/>
      <c r="D179" s="22" t="n"/>
      <c r="I179" s="23" t="n"/>
    </row>
    <row r="180">
      <c r="A180" s="22" t="n"/>
      <c r="D180" s="22" t="n"/>
      <c r="I180" s="23" t="n"/>
    </row>
    <row r="181">
      <c r="A181" s="22" t="n"/>
      <c r="D181" s="22" t="n"/>
      <c r="I181" s="23" t="n"/>
    </row>
    <row r="182">
      <c r="A182" s="22" t="n"/>
      <c r="D182" s="22" t="n"/>
      <c r="I182" s="23" t="n"/>
    </row>
    <row r="183">
      <c r="A183" s="22" t="n"/>
      <c r="D183" s="22" t="n"/>
      <c r="I183" s="23" t="n"/>
    </row>
    <row r="184">
      <c r="A184" s="22" t="n"/>
      <c r="D184" s="22" t="n"/>
      <c r="I184" s="23" t="n"/>
    </row>
    <row r="185">
      <c r="A185" s="22" t="n"/>
      <c r="D185" s="22" t="n"/>
      <c r="I185" s="23" t="n"/>
    </row>
    <row r="186">
      <c r="A186" s="22" t="n"/>
      <c r="D186" s="22" t="n"/>
      <c r="I186" s="23" t="n"/>
    </row>
    <row r="187">
      <c r="A187" s="22" t="n"/>
      <c r="D187" s="22" t="n"/>
      <c r="I187" s="23" t="n"/>
    </row>
    <row r="188">
      <c r="A188" s="22" t="n"/>
      <c r="D188" s="22" t="n"/>
      <c r="I188" s="23" t="n"/>
    </row>
    <row r="189">
      <c r="A189" s="22" t="n"/>
      <c r="D189" s="22" t="n"/>
      <c r="I189" s="23" t="n"/>
    </row>
    <row r="190">
      <c r="A190" s="22" t="n"/>
      <c r="D190" s="22" t="n"/>
      <c r="I190" s="23" t="n"/>
    </row>
    <row r="191">
      <c r="A191" s="22" t="n"/>
      <c r="D191" s="22" t="n"/>
      <c r="I191" s="23" t="n"/>
    </row>
    <row r="192">
      <c r="A192" s="22" t="n"/>
      <c r="D192" s="22" t="n"/>
      <c r="I192" s="23" t="n"/>
    </row>
    <row r="193">
      <c r="A193" s="22" t="n"/>
      <c r="D193" s="22" t="n"/>
      <c r="I193" s="23" t="n"/>
    </row>
    <row r="194">
      <c r="A194" s="22" t="n"/>
      <c r="D194" s="22" t="n"/>
      <c r="I194" s="23" t="n"/>
    </row>
    <row r="195">
      <c r="A195" s="22" t="n"/>
      <c r="D195" s="22" t="n"/>
      <c r="I195" s="23" t="n"/>
    </row>
    <row r="196">
      <c r="A196" s="22" t="n"/>
      <c r="D196" s="22" t="n"/>
      <c r="I196" s="23" t="n"/>
    </row>
    <row r="197">
      <c r="A197" s="22" t="n"/>
      <c r="D197" s="22" t="n"/>
      <c r="I197" s="23" t="n"/>
    </row>
    <row r="198">
      <c r="A198" s="22" t="n"/>
      <c r="D198" s="22" t="n"/>
      <c r="I198" s="23" t="n"/>
    </row>
    <row r="199">
      <c r="A199" s="22" t="n"/>
      <c r="D199" s="22" t="n"/>
      <c r="I199" s="23" t="n"/>
    </row>
    <row r="200">
      <c r="A200" s="22" t="n"/>
      <c r="D200" s="22" t="n"/>
      <c r="I200" s="23" t="n"/>
    </row>
    <row r="201">
      <c r="A201" s="22" t="n"/>
      <c r="D201" s="22" t="n"/>
      <c r="I201" s="23" t="n"/>
    </row>
    <row r="202">
      <c r="A202" s="22" t="n"/>
      <c r="D202" s="22" t="n"/>
      <c r="I202" s="23" t="n"/>
    </row>
    <row r="203">
      <c r="A203" s="22" t="n"/>
      <c r="D203" s="22" t="n"/>
      <c r="I203" s="23" t="n"/>
    </row>
    <row r="204">
      <c r="A204" s="22" t="n"/>
      <c r="D204" s="22" t="n"/>
      <c r="I204" s="23" t="n"/>
    </row>
    <row r="205">
      <c r="A205" s="22" t="n"/>
      <c r="D205" s="22" t="n"/>
      <c r="I205" s="23" t="n"/>
    </row>
    <row r="206">
      <c r="A206" s="22" t="n"/>
      <c r="D206" s="22" t="n"/>
      <c r="I206" s="23" t="n"/>
    </row>
    <row r="207">
      <c r="A207" s="22" t="n"/>
      <c r="D207" s="22" t="n"/>
      <c r="I207" s="23" t="n"/>
    </row>
    <row r="208">
      <c r="A208" s="22" t="n"/>
      <c r="D208" s="22" t="n"/>
      <c r="I208" s="23" t="n"/>
    </row>
    <row r="209">
      <c r="A209" s="22" t="n"/>
      <c r="D209" s="22" t="n"/>
      <c r="I209" s="23" t="n"/>
    </row>
    <row r="210">
      <c r="A210" s="22" t="n"/>
      <c r="D210" s="22" t="n"/>
      <c r="I210" s="23" t="n"/>
    </row>
    <row r="211">
      <c r="A211" s="22" t="n"/>
      <c r="D211" s="22" t="n"/>
      <c r="I211" s="23" t="n"/>
    </row>
    <row r="212">
      <c r="A212" s="22" t="n"/>
      <c r="D212" s="22" t="n"/>
      <c r="I212" s="23" t="n"/>
    </row>
    <row r="213">
      <c r="A213" s="22" t="n"/>
      <c r="D213" s="22" t="n"/>
      <c r="I213" s="23" t="n"/>
    </row>
    <row r="214">
      <c r="A214" s="22" t="n"/>
      <c r="D214" s="22" t="n"/>
      <c r="I214" s="23" t="n"/>
    </row>
    <row r="215">
      <c r="A215" s="22" t="n"/>
      <c r="D215" s="22" t="n"/>
      <c r="I215" s="23" t="n"/>
    </row>
    <row r="216">
      <c r="A216" s="22" t="n"/>
      <c r="D216" s="22" t="n"/>
      <c r="I216" s="23" t="n"/>
    </row>
    <row r="217">
      <c r="A217" s="22" t="n"/>
      <c r="D217" s="22" t="n"/>
      <c r="I217" s="23" t="n"/>
    </row>
    <row r="218">
      <c r="A218" s="22" t="n"/>
      <c r="D218" s="22" t="n"/>
      <c r="I218" s="23" t="n"/>
    </row>
    <row r="219">
      <c r="A219" s="22" t="n"/>
      <c r="D219" s="22" t="n"/>
      <c r="I219" s="23" t="n"/>
    </row>
    <row r="220">
      <c r="A220" s="22" t="n"/>
      <c r="D220" s="22" t="n"/>
      <c r="I220" s="23" t="n"/>
    </row>
    <row r="221">
      <c r="A221" s="22" t="n"/>
      <c r="D221" s="22" t="n"/>
      <c r="I221" s="23" t="n"/>
    </row>
    <row r="222">
      <c r="A222" s="22" t="n"/>
      <c r="D222" s="22" t="n"/>
      <c r="I222" s="23" t="n"/>
    </row>
    <row r="223">
      <c r="A223" s="22" t="n"/>
      <c r="D223" s="22" t="n"/>
      <c r="I223" s="23" t="n"/>
    </row>
    <row r="224">
      <c r="A224" s="22" t="n"/>
      <c r="D224" s="22" t="n"/>
      <c r="I224" s="23" t="n"/>
    </row>
    <row r="225">
      <c r="A225" s="22" t="n"/>
      <c r="D225" s="22" t="n"/>
      <c r="I225" s="23" t="n"/>
    </row>
    <row r="226">
      <c r="A226" s="22" t="n"/>
      <c r="D226" s="22" t="n"/>
      <c r="I226" s="23" t="n"/>
    </row>
    <row r="227">
      <c r="A227" s="22" t="n"/>
      <c r="D227" s="22" t="n"/>
      <c r="I227" s="23" t="n"/>
    </row>
    <row r="228">
      <c r="A228" s="22" t="n"/>
      <c r="D228" s="22" t="n"/>
      <c r="I228" s="23" t="n"/>
    </row>
    <row r="229">
      <c r="A229" s="22" t="n"/>
      <c r="D229" s="22" t="n"/>
      <c r="I229" s="23" t="n"/>
    </row>
    <row r="230">
      <c r="A230" s="22" t="n"/>
      <c r="D230" s="22" t="n"/>
      <c r="I230" s="23" t="n"/>
    </row>
    <row r="231">
      <c r="A231" s="22" t="n"/>
      <c r="D231" s="22" t="n"/>
      <c r="I231" s="23" t="n"/>
    </row>
    <row r="232">
      <c r="A232" s="22" t="n"/>
      <c r="D232" s="22" t="n"/>
      <c r="I232" s="23" t="n"/>
    </row>
    <row r="233">
      <c r="A233" s="22" t="n"/>
      <c r="D233" s="22" t="n"/>
      <c r="I233" s="23" t="n"/>
    </row>
    <row r="234">
      <c r="A234" s="22" t="n"/>
      <c r="D234" s="22" t="n"/>
      <c r="I234" s="23" t="n"/>
    </row>
    <row r="235">
      <c r="A235" s="22" t="n"/>
      <c r="D235" s="22" t="n"/>
      <c r="I235" s="23" t="n"/>
    </row>
    <row r="236">
      <c r="A236" s="22" t="n"/>
      <c r="D236" s="22" t="n"/>
      <c r="I236" s="23" t="n"/>
    </row>
    <row r="237">
      <c r="A237" s="22" t="n"/>
      <c r="D237" s="22" t="n"/>
      <c r="I237" s="23" t="n"/>
    </row>
    <row r="238">
      <c r="A238" s="22" t="n"/>
      <c r="D238" s="22" t="n"/>
      <c r="I238" s="23" t="n"/>
    </row>
    <row r="239">
      <c r="A239" s="22" t="n"/>
      <c r="D239" s="22" t="n"/>
      <c r="I239" s="23" t="n"/>
    </row>
    <row r="240">
      <c r="A240" s="22" t="n"/>
      <c r="D240" s="22" t="n"/>
      <c r="I240" s="23" t="n"/>
    </row>
    <row r="241">
      <c r="A241" s="22" t="n"/>
      <c r="D241" s="22" t="n"/>
      <c r="I241" s="23" t="n"/>
    </row>
    <row r="242">
      <c r="A242" s="22" t="n"/>
      <c r="D242" s="22" t="n"/>
      <c r="I242" s="23" t="n"/>
    </row>
    <row r="243">
      <c r="A243" s="22" t="n"/>
      <c r="D243" s="22" t="n"/>
      <c r="I243" s="23" t="n"/>
    </row>
    <row r="244">
      <c r="A244" s="22" t="n"/>
      <c r="D244" s="22" t="n"/>
      <c r="I244" s="23" t="n"/>
    </row>
    <row r="245">
      <c r="A245" s="22" t="n"/>
      <c r="D245" s="22" t="n"/>
      <c r="I245" s="23" t="n"/>
    </row>
    <row r="246">
      <c r="A246" s="22" t="n"/>
      <c r="D246" s="22" t="n"/>
      <c r="I246" s="23" t="n"/>
    </row>
    <row r="247">
      <c r="A247" s="22" t="n"/>
      <c r="D247" s="22" t="n"/>
      <c r="I247" s="23" t="n"/>
    </row>
    <row r="248">
      <c r="A248" s="22" t="n"/>
      <c r="D248" s="22" t="n"/>
      <c r="I248" s="23" t="n"/>
    </row>
    <row r="249">
      <c r="A249" s="22" t="n"/>
      <c r="D249" s="22" t="n"/>
      <c r="I249" s="23" t="n"/>
    </row>
    <row r="250">
      <c r="A250" s="22" t="n"/>
      <c r="D250" s="22" t="n"/>
      <c r="I250" s="23" t="n"/>
    </row>
    <row r="251">
      <c r="A251" s="22" t="n"/>
      <c r="D251" s="22" t="n"/>
      <c r="I251" s="23" t="n"/>
    </row>
    <row r="252">
      <c r="A252" s="22" t="n"/>
      <c r="D252" s="22" t="n"/>
      <c r="I252" s="23" t="n"/>
    </row>
    <row r="253">
      <c r="A253" s="22" t="n"/>
      <c r="D253" s="22" t="n"/>
      <c r="I253" s="23" t="n"/>
    </row>
    <row r="254">
      <c r="A254" s="22" t="n"/>
      <c r="D254" s="22" t="n"/>
      <c r="I254" s="23" t="n"/>
    </row>
    <row r="255">
      <c r="A255" s="22" t="n"/>
      <c r="D255" s="22" t="n"/>
      <c r="I255" s="23" t="n"/>
    </row>
    <row r="256">
      <c r="A256" s="22" t="n"/>
      <c r="D256" s="22" t="n"/>
      <c r="I256" s="23" t="n"/>
    </row>
    <row r="257">
      <c r="A257" s="22" t="n"/>
      <c r="D257" s="22" t="n"/>
      <c r="I257" s="23" t="n"/>
    </row>
    <row r="258">
      <c r="A258" s="22" t="n"/>
      <c r="D258" s="22" t="n"/>
      <c r="I258" s="23" t="n"/>
    </row>
    <row r="259">
      <c r="A259" s="22" t="n"/>
      <c r="D259" s="22" t="n"/>
      <c r="I259" s="23" t="n"/>
    </row>
    <row r="260">
      <c r="A260" s="22" t="n"/>
      <c r="D260" s="22" t="n"/>
      <c r="I260" s="23" t="n"/>
    </row>
    <row r="261">
      <c r="A261" s="22" t="n"/>
      <c r="D261" s="22" t="n"/>
      <c r="I261" s="23" t="n"/>
    </row>
    <row r="262">
      <c r="A262" s="22" t="n"/>
      <c r="D262" s="22" t="n"/>
      <c r="I262" s="23" t="n"/>
    </row>
    <row r="263">
      <c r="A263" s="22" t="n"/>
      <c r="D263" s="22" t="n"/>
      <c r="I263" s="23" t="n"/>
    </row>
    <row r="264">
      <c r="A264" s="22" t="n"/>
      <c r="D264" s="22" t="n"/>
      <c r="I264" s="23" t="n"/>
    </row>
    <row r="265">
      <c r="A265" s="22" t="n"/>
      <c r="D265" s="22" t="n"/>
      <c r="I265" s="23" t="n"/>
    </row>
    <row r="266">
      <c r="A266" s="22" t="n"/>
      <c r="D266" s="22" t="n"/>
      <c r="I266" s="23" t="n"/>
    </row>
    <row r="267">
      <c r="A267" s="22" t="n"/>
      <c r="D267" s="22" t="n"/>
      <c r="I267" s="23" t="n"/>
    </row>
    <row r="268">
      <c r="A268" s="22" t="n"/>
      <c r="D268" s="22" t="n"/>
      <c r="I268" s="23" t="n"/>
    </row>
    <row r="269">
      <c r="A269" s="22" t="n"/>
      <c r="D269" s="22" t="n"/>
      <c r="I269" s="23" t="n"/>
    </row>
    <row r="270">
      <c r="A270" s="22" t="n"/>
      <c r="D270" s="22" t="n"/>
      <c r="I270" s="23" t="n"/>
    </row>
    <row r="271">
      <c r="A271" s="22" t="n"/>
      <c r="D271" s="22" t="n"/>
      <c r="I271" s="23" t="n"/>
    </row>
    <row r="272">
      <c r="A272" s="22" t="n"/>
      <c r="D272" s="22" t="n"/>
      <c r="I272" s="23" t="n"/>
    </row>
    <row r="273">
      <c r="A273" s="22" t="n"/>
      <c r="D273" s="22" t="n"/>
      <c r="I273" s="23" t="n"/>
    </row>
    <row r="274">
      <c r="A274" s="22" t="n"/>
      <c r="D274" s="22" t="n"/>
      <c r="I274" s="23" t="n"/>
    </row>
    <row r="275">
      <c r="A275" s="22" t="n"/>
      <c r="D275" s="22" t="n"/>
      <c r="I275" s="23" t="n"/>
    </row>
    <row r="276">
      <c r="A276" s="22" t="n"/>
      <c r="D276" s="22" t="n"/>
      <c r="I276" s="23" t="n"/>
    </row>
    <row r="277">
      <c r="A277" s="22" t="n"/>
      <c r="D277" s="22" t="n"/>
      <c r="I277" s="23" t="n"/>
    </row>
    <row r="278">
      <c r="A278" s="22" t="n"/>
      <c r="D278" s="22" t="n"/>
      <c r="I278" s="23" t="n"/>
    </row>
    <row r="279">
      <c r="A279" s="22" t="n"/>
      <c r="D279" s="22" t="n"/>
      <c r="I279" s="23" t="n"/>
    </row>
    <row r="280">
      <c r="A280" s="22" t="n"/>
      <c r="D280" s="22" t="n"/>
      <c r="I280" s="23" t="n"/>
    </row>
    <row r="281">
      <c r="A281" s="22" t="n"/>
      <c r="D281" s="22" t="n"/>
      <c r="I281" s="23" t="n"/>
    </row>
    <row r="282">
      <c r="A282" s="22" t="n"/>
      <c r="D282" s="22" t="n"/>
      <c r="I282" s="23" t="n"/>
    </row>
    <row r="283">
      <c r="A283" s="22" t="n"/>
      <c r="D283" s="22" t="n"/>
      <c r="I283" s="23" t="n"/>
    </row>
    <row r="284">
      <c r="A284" s="22" t="n"/>
      <c r="D284" s="22" t="n"/>
      <c r="I284" s="23" t="n"/>
    </row>
    <row r="285">
      <c r="A285" s="22" t="n"/>
      <c r="D285" s="22" t="n"/>
      <c r="I285" s="23" t="n"/>
    </row>
    <row r="286">
      <c r="A286" s="22" t="n"/>
      <c r="D286" s="22" t="n"/>
      <c r="I286" s="23" t="n"/>
    </row>
    <row r="287">
      <c r="A287" s="22" t="n"/>
      <c r="D287" s="22" t="n"/>
      <c r="I287" s="23" t="n"/>
    </row>
    <row r="288">
      <c r="A288" s="22" t="n"/>
      <c r="D288" s="22" t="n"/>
      <c r="I288" s="23" t="n"/>
    </row>
    <row r="289">
      <c r="A289" s="22" t="n"/>
      <c r="D289" s="22" t="n"/>
      <c r="I289" s="23" t="n"/>
    </row>
    <row r="290">
      <c r="A290" s="22" t="n"/>
      <c r="D290" s="22" t="n"/>
      <c r="I290" s="23" t="n"/>
    </row>
    <row r="291">
      <c r="A291" s="22" t="n"/>
      <c r="D291" s="22" t="n"/>
      <c r="I291" s="23" t="n"/>
    </row>
    <row r="292">
      <c r="A292" s="22" t="n"/>
      <c r="D292" s="22" t="n"/>
      <c r="I292" s="23" t="n"/>
    </row>
    <row r="293">
      <c r="A293" s="22" t="n"/>
      <c r="D293" s="22" t="n"/>
      <c r="I293" s="23" t="n"/>
    </row>
    <row r="294">
      <c r="A294" s="22" t="n"/>
      <c r="D294" s="22" t="n"/>
      <c r="I294" s="23" t="n"/>
    </row>
    <row r="295">
      <c r="A295" s="22" t="n"/>
      <c r="D295" s="22" t="n"/>
      <c r="I295" s="23" t="n"/>
    </row>
    <row r="296">
      <c r="A296" s="22" t="n"/>
      <c r="D296" s="22" t="n"/>
      <c r="I296" s="23" t="n"/>
    </row>
    <row r="297">
      <c r="A297" s="22" t="n"/>
      <c r="D297" s="22" t="n"/>
      <c r="I297" s="23" t="n"/>
    </row>
    <row r="298">
      <c r="A298" s="22" t="n"/>
      <c r="D298" s="22" t="n"/>
      <c r="I298" s="23" t="n"/>
    </row>
    <row r="299">
      <c r="A299" s="22" t="n"/>
      <c r="D299" s="22" t="n"/>
      <c r="I299" s="23" t="n"/>
    </row>
    <row r="300">
      <c r="A300" s="22" t="n"/>
      <c r="D300" s="22" t="n"/>
      <c r="I300" s="23" t="n"/>
    </row>
    <row r="301">
      <c r="A301" s="22" t="n"/>
      <c r="D301" s="22" t="n"/>
      <c r="I301" s="23" t="n"/>
    </row>
    <row r="302">
      <c r="A302" s="22" t="n"/>
      <c r="D302" s="22" t="n"/>
      <c r="I302" s="23" t="n"/>
    </row>
    <row r="303">
      <c r="A303" s="22" t="n"/>
      <c r="D303" s="22" t="n"/>
      <c r="I303" s="23" t="n"/>
    </row>
    <row r="304">
      <c r="A304" s="22" t="n"/>
      <c r="D304" s="22" t="n"/>
      <c r="I304" s="23" t="n"/>
    </row>
    <row r="305">
      <c r="A305" s="22" t="n"/>
      <c r="D305" s="22" t="n"/>
      <c r="I305" s="23" t="n"/>
    </row>
    <row r="306">
      <c r="A306" s="22" t="n"/>
      <c r="D306" s="22" t="n"/>
      <c r="I306" s="23" t="n"/>
    </row>
    <row r="307">
      <c r="A307" s="22" t="n"/>
      <c r="D307" s="22" t="n"/>
      <c r="I307" s="23" t="n"/>
    </row>
    <row r="308">
      <c r="A308" s="22" t="n"/>
      <c r="D308" s="22" t="n"/>
      <c r="I308" s="23" t="n"/>
    </row>
    <row r="309">
      <c r="A309" s="22" t="n"/>
      <c r="D309" s="22" t="n"/>
      <c r="I309" s="23" t="n"/>
    </row>
    <row r="310">
      <c r="A310" s="22" t="n"/>
      <c r="D310" s="22" t="n"/>
      <c r="I310" s="23" t="n"/>
    </row>
    <row r="311">
      <c r="A311" s="22" t="n"/>
      <c r="D311" s="22" t="n"/>
      <c r="I311" s="23" t="n"/>
    </row>
    <row r="312">
      <c r="A312" s="22" t="n"/>
      <c r="D312" s="22" t="n"/>
      <c r="I312" s="23" t="n"/>
    </row>
    <row r="313">
      <c r="A313" s="22" t="n"/>
      <c r="D313" s="22" t="n"/>
      <c r="I313" s="23" t="n"/>
    </row>
    <row r="314">
      <c r="A314" s="22" t="n"/>
      <c r="D314" s="22" t="n"/>
      <c r="I314" s="23" t="n"/>
    </row>
    <row r="315">
      <c r="A315" s="22" t="n"/>
      <c r="D315" s="22" t="n"/>
      <c r="I315" s="23" t="n"/>
    </row>
    <row r="316">
      <c r="A316" s="22" t="n"/>
      <c r="D316" s="22" t="n"/>
      <c r="I316" s="23" t="n"/>
    </row>
    <row r="317">
      <c r="A317" s="22" t="n"/>
      <c r="D317" s="22" t="n"/>
      <c r="I317" s="23" t="n"/>
    </row>
    <row r="318">
      <c r="A318" s="22" t="n"/>
      <c r="D318" s="22" t="n"/>
      <c r="I318" s="23" t="n"/>
    </row>
    <row r="319">
      <c r="A319" s="22" t="n"/>
      <c r="D319" s="22" t="n"/>
      <c r="I319" s="23" t="n"/>
    </row>
    <row r="320">
      <c r="A320" s="22" t="n"/>
      <c r="D320" s="22" t="n"/>
      <c r="I320" s="23" t="n"/>
    </row>
    <row r="321">
      <c r="A321" s="22" t="n"/>
      <c r="D321" s="22" t="n"/>
      <c r="I321" s="23" t="n"/>
    </row>
    <row r="322">
      <c r="A322" s="22" t="n"/>
      <c r="D322" s="22" t="n"/>
      <c r="I322" s="23" t="n"/>
    </row>
    <row r="323">
      <c r="A323" s="22" t="n"/>
      <c r="D323" s="22" t="n"/>
      <c r="I323" s="23" t="n"/>
    </row>
    <row r="324">
      <c r="A324" s="22" t="n"/>
      <c r="D324" s="22" t="n"/>
      <c r="I324" s="23" t="n"/>
    </row>
    <row r="325">
      <c r="A325" s="22" t="n"/>
      <c r="D325" s="22" t="n"/>
      <c r="I325" s="23" t="n"/>
    </row>
    <row r="326">
      <c r="A326" s="22" t="n"/>
      <c r="D326" s="22" t="n"/>
      <c r="I326" s="23" t="n"/>
    </row>
    <row r="327">
      <c r="A327" s="22" t="n"/>
      <c r="D327" s="22" t="n"/>
      <c r="I327" s="23" t="n"/>
    </row>
    <row r="328">
      <c r="A328" s="22" t="n"/>
      <c r="D328" s="22" t="n"/>
      <c r="I328" s="23" t="n"/>
    </row>
    <row r="329">
      <c r="A329" s="22" t="n"/>
      <c r="D329" s="22" t="n"/>
      <c r="I329" s="23" t="n"/>
    </row>
    <row r="330">
      <c r="A330" s="22" t="n"/>
      <c r="D330" s="22" t="n"/>
      <c r="I330" s="23" t="n"/>
    </row>
    <row r="331">
      <c r="A331" s="22" t="n"/>
      <c r="D331" s="22" t="n"/>
      <c r="I331" s="23" t="n"/>
    </row>
    <row r="332">
      <c r="A332" s="22" t="n"/>
      <c r="D332" s="22" t="n"/>
      <c r="I332" s="23" t="n"/>
    </row>
    <row r="333">
      <c r="A333" s="22" t="n"/>
      <c r="D333" s="22" t="n"/>
      <c r="I333" s="23" t="n"/>
    </row>
    <row r="334">
      <c r="A334" s="22" t="n"/>
      <c r="D334" s="22" t="n"/>
      <c r="I334" s="23" t="n"/>
    </row>
    <row r="335">
      <c r="A335" s="22" t="n"/>
      <c r="D335" s="22" t="n"/>
      <c r="I335" s="23" t="n"/>
    </row>
    <row r="336">
      <c r="A336" s="22" t="n"/>
      <c r="D336" s="22" t="n"/>
      <c r="I336" s="23" t="n"/>
    </row>
    <row r="337">
      <c r="A337" s="22" t="n"/>
      <c r="D337" s="22" t="n"/>
      <c r="I337" s="23" t="n"/>
    </row>
    <row r="338">
      <c r="A338" s="22" t="n"/>
      <c r="D338" s="22" t="n"/>
      <c r="I338" s="23" t="n"/>
    </row>
    <row r="339">
      <c r="A339" s="22" t="n"/>
      <c r="D339" s="22" t="n"/>
      <c r="I339" s="23" t="n"/>
    </row>
    <row r="340">
      <c r="A340" s="22" t="n"/>
      <c r="D340" s="22" t="n"/>
      <c r="I340" s="23" t="n"/>
    </row>
    <row r="341">
      <c r="A341" s="22" t="n"/>
      <c r="D341" s="22" t="n"/>
      <c r="I341" s="23" t="n"/>
    </row>
    <row r="342">
      <c r="A342" s="22" t="n"/>
      <c r="D342" s="22" t="n"/>
      <c r="I342" s="23" t="n"/>
    </row>
    <row r="343">
      <c r="A343" s="22" t="n"/>
      <c r="D343" s="22" t="n"/>
      <c r="I343" s="23" t="n"/>
    </row>
    <row r="344">
      <c r="A344" s="22" t="n"/>
      <c r="D344" s="22" t="n"/>
      <c r="I344" s="23" t="n"/>
    </row>
    <row r="345">
      <c r="A345" s="22" t="n"/>
      <c r="D345" s="22" t="n"/>
      <c r="I345" s="23" t="n"/>
    </row>
    <row r="346">
      <c r="A346" s="22" t="n"/>
      <c r="D346" s="22" t="n"/>
      <c r="I346" s="23" t="n"/>
    </row>
    <row r="347">
      <c r="A347" s="22" t="n"/>
      <c r="D347" s="22" t="n"/>
      <c r="I347" s="23" t="n"/>
    </row>
    <row r="348">
      <c r="A348" s="22" t="n"/>
      <c r="D348" s="22" t="n"/>
      <c r="I348" s="23" t="n"/>
    </row>
    <row r="349">
      <c r="A349" s="22" t="n"/>
      <c r="D349" s="22" t="n"/>
      <c r="I349" s="23" t="n"/>
    </row>
    <row r="350">
      <c r="A350" s="22" t="n"/>
      <c r="D350" s="22" t="n"/>
      <c r="I350" s="23" t="n"/>
    </row>
    <row r="351">
      <c r="A351" s="22" t="n"/>
      <c r="D351" s="22" t="n"/>
      <c r="I351" s="23" t="n"/>
    </row>
    <row r="352">
      <c r="A352" s="22" t="n"/>
      <c r="D352" s="22" t="n"/>
      <c r="I352" s="23" t="n"/>
    </row>
    <row r="353">
      <c r="A353" s="22" t="n"/>
      <c r="D353" s="22" t="n"/>
      <c r="I353" s="23" t="n"/>
    </row>
    <row r="354">
      <c r="A354" s="22" t="n"/>
      <c r="D354" s="22" t="n"/>
      <c r="I354" s="23" t="n"/>
    </row>
    <row r="355">
      <c r="A355" s="22" t="n"/>
      <c r="D355" s="22" t="n"/>
      <c r="I355" s="23" t="n"/>
    </row>
    <row r="356">
      <c r="A356" s="22" t="n"/>
      <c r="D356" s="22" t="n"/>
      <c r="I356" s="23" t="n"/>
    </row>
    <row r="357">
      <c r="A357" s="22" t="n"/>
      <c r="D357" s="22" t="n"/>
      <c r="I357" s="23" t="n"/>
    </row>
    <row r="358">
      <c r="A358" s="22" t="n"/>
      <c r="D358" s="22" t="n"/>
      <c r="I358" s="23" t="n"/>
    </row>
    <row r="359">
      <c r="A359" s="22" t="n"/>
      <c r="D359" s="22" t="n"/>
      <c r="I359" s="23" t="n"/>
    </row>
    <row r="360">
      <c r="A360" s="22" t="n"/>
      <c r="D360" s="22" t="n"/>
      <c r="I360" s="23" t="n"/>
    </row>
    <row r="361">
      <c r="A361" s="22" t="n"/>
      <c r="D361" s="22" t="n"/>
      <c r="I361" s="23" t="n"/>
    </row>
    <row r="362">
      <c r="A362" s="22" t="n"/>
      <c r="D362" s="22" t="n"/>
      <c r="I362" s="23" t="n"/>
    </row>
    <row r="363">
      <c r="A363" s="22" t="n"/>
      <c r="D363" s="22" t="n"/>
      <c r="I363" s="23" t="n"/>
    </row>
    <row r="364">
      <c r="A364" s="22" t="n"/>
      <c r="D364" s="22" t="n"/>
      <c r="I364" s="23" t="n"/>
    </row>
    <row r="365">
      <c r="A365" s="22" t="n"/>
      <c r="D365" s="22" t="n"/>
      <c r="I365" s="23" t="n"/>
    </row>
    <row r="366">
      <c r="A366" s="22" t="n"/>
      <c r="D366" s="22" t="n"/>
      <c r="I366" s="23" t="n"/>
    </row>
    <row r="367">
      <c r="A367" s="22" t="n"/>
      <c r="D367" s="22" t="n"/>
      <c r="I367" s="23" t="n"/>
    </row>
    <row r="368">
      <c r="A368" s="22" t="n"/>
      <c r="D368" s="22" t="n"/>
      <c r="I368" s="23" t="n"/>
    </row>
    <row r="369">
      <c r="A369" s="22" t="n"/>
      <c r="D369" s="22" t="n"/>
      <c r="I369" s="23" t="n"/>
    </row>
    <row r="370">
      <c r="A370" s="22" t="n"/>
      <c r="D370" s="22" t="n"/>
      <c r="I370" s="23" t="n"/>
    </row>
    <row r="371">
      <c r="A371" s="22" t="n"/>
      <c r="D371" s="22" t="n"/>
      <c r="I371" s="23" t="n"/>
    </row>
    <row r="372">
      <c r="A372" s="22" t="n"/>
      <c r="D372" s="22" t="n"/>
      <c r="I372" s="23" t="n"/>
    </row>
    <row r="373">
      <c r="A373" s="22" t="n"/>
      <c r="D373" s="22" t="n"/>
      <c r="I373" s="23" t="n"/>
    </row>
    <row r="374">
      <c r="A374" s="22" t="n"/>
      <c r="D374" s="22" t="n"/>
      <c r="I374" s="23" t="n"/>
    </row>
    <row r="375">
      <c r="A375" s="22" t="n"/>
      <c r="D375" s="22" t="n"/>
      <c r="I375" s="23" t="n"/>
    </row>
    <row r="376">
      <c r="A376" s="22" t="n"/>
      <c r="D376" s="22" t="n"/>
      <c r="I376" s="23" t="n"/>
    </row>
    <row r="377">
      <c r="A377" s="22" t="n"/>
      <c r="D377" s="22" t="n"/>
      <c r="I377" s="23" t="n"/>
    </row>
    <row r="378">
      <c r="A378" s="22" t="n"/>
      <c r="D378" s="22" t="n"/>
      <c r="I378" s="23" t="n"/>
    </row>
    <row r="379">
      <c r="A379" s="22" t="n"/>
      <c r="D379" s="22" t="n"/>
      <c r="I379" s="23" t="n"/>
    </row>
    <row r="380">
      <c r="A380" s="22" t="n"/>
      <c r="D380" s="22" t="n"/>
      <c r="I380" s="23" t="n"/>
    </row>
    <row r="381">
      <c r="A381" s="22" t="n"/>
      <c r="D381" s="22" t="n"/>
      <c r="I381" s="23" t="n"/>
    </row>
    <row r="382">
      <c r="A382" s="22" t="n"/>
      <c r="D382" s="22" t="n"/>
      <c r="I382" s="23" t="n"/>
    </row>
    <row r="383">
      <c r="A383" s="22" t="n"/>
      <c r="D383" s="22" t="n"/>
      <c r="I383" s="23" t="n"/>
    </row>
    <row r="384">
      <c r="A384" s="22" t="n"/>
      <c r="D384" s="22" t="n"/>
      <c r="I384" s="23" t="n"/>
    </row>
    <row r="385">
      <c r="A385" s="22" t="n"/>
      <c r="D385" s="22" t="n"/>
      <c r="I385" s="23" t="n"/>
    </row>
    <row r="386">
      <c r="A386" s="22" t="n"/>
      <c r="D386" s="22" t="n"/>
      <c r="I386" s="23" t="n"/>
    </row>
    <row r="387">
      <c r="A387" s="22" t="n"/>
      <c r="D387" s="22" t="n"/>
      <c r="I387" s="23" t="n"/>
    </row>
    <row r="388">
      <c r="A388" s="22" t="n"/>
      <c r="D388" s="22" t="n"/>
      <c r="I388" s="23" t="n"/>
    </row>
    <row r="389">
      <c r="A389" s="22" t="n"/>
      <c r="D389" s="22" t="n"/>
      <c r="I389" s="23" t="n"/>
    </row>
    <row r="390">
      <c r="A390" s="22" t="n"/>
      <c r="D390" s="22" t="n"/>
      <c r="I390" s="23" t="n"/>
    </row>
    <row r="391">
      <c r="A391" s="22" t="n"/>
      <c r="D391" s="22" t="n"/>
      <c r="I391" s="23" t="n"/>
    </row>
    <row r="392">
      <c r="A392" s="22" t="n"/>
      <c r="D392" s="22" t="n"/>
      <c r="I392" s="23" t="n"/>
    </row>
    <row r="393">
      <c r="A393" s="22" t="n"/>
      <c r="D393" s="22" t="n"/>
      <c r="I393" s="23" t="n"/>
    </row>
    <row r="394">
      <c r="A394" s="22" t="n"/>
      <c r="D394" s="22" t="n"/>
      <c r="I394" s="23" t="n"/>
    </row>
    <row r="395">
      <c r="A395" s="22" t="n"/>
      <c r="D395" s="22" t="n"/>
      <c r="I395" s="23" t="n"/>
    </row>
    <row r="396">
      <c r="A396" s="22" t="n"/>
      <c r="D396" s="22" t="n"/>
      <c r="I396" s="23" t="n"/>
    </row>
    <row r="397">
      <c r="A397" s="22" t="n"/>
      <c r="D397" s="22" t="n"/>
      <c r="I397" s="23" t="n"/>
    </row>
    <row r="398">
      <c r="A398" s="22" t="n"/>
      <c r="D398" s="22" t="n"/>
      <c r="I398" s="23" t="n"/>
    </row>
    <row r="399">
      <c r="A399" s="22" t="n"/>
      <c r="D399" s="22" t="n"/>
      <c r="I399" s="23" t="n"/>
    </row>
    <row r="400">
      <c r="A400" s="22" t="n"/>
      <c r="D400" s="22" t="n"/>
      <c r="I400" s="23" t="n"/>
    </row>
    <row r="401">
      <c r="A401" s="22" t="n"/>
      <c r="D401" s="22" t="n"/>
      <c r="I401" s="23" t="n"/>
    </row>
    <row r="402">
      <c r="A402" s="22" t="n"/>
      <c r="D402" s="22" t="n"/>
      <c r="I402" s="23" t="n"/>
    </row>
    <row r="403">
      <c r="A403" s="22" t="n"/>
      <c r="D403" s="22" t="n"/>
      <c r="I403" s="23" t="n"/>
    </row>
    <row r="404">
      <c r="A404" s="22" t="n"/>
      <c r="D404" s="22" t="n"/>
      <c r="I404" s="23" t="n"/>
    </row>
    <row r="405">
      <c r="A405" s="22" t="n"/>
      <c r="D405" s="22" t="n"/>
      <c r="I405" s="23" t="n"/>
    </row>
    <row r="406">
      <c r="A406" s="22" t="n"/>
      <c r="D406" s="22" t="n"/>
      <c r="I406" s="23" t="n"/>
    </row>
    <row r="407">
      <c r="A407" s="22" t="n"/>
      <c r="D407" s="22" t="n"/>
      <c r="I407" s="23" t="n"/>
    </row>
    <row r="408">
      <c r="A408" s="22" t="n"/>
      <c r="D408" s="22" t="n"/>
      <c r="I408" s="23" t="n"/>
    </row>
    <row r="409">
      <c r="A409" s="22" t="n"/>
      <c r="D409" s="22" t="n"/>
      <c r="I409" s="23" t="n"/>
    </row>
    <row r="410">
      <c r="A410" s="22" t="n"/>
      <c r="D410" s="22" t="n"/>
      <c r="I410" s="23" t="n"/>
    </row>
    <row r="411">
      <c r="A411" s="22" t="n"/>
      <c r="D411" s="22" t="n"/>
      <c r="I411" s="23" t="n"/>
    </row>
    <row r="412">
      <c r="A412" s="22" t="n"/>
      <c r="D412" s="22" t="n"/>
      <c r="I412" s="23" t="n"/>
    </row>
    <row r="413">
      <c r="A413" s="22" t="n"/>
      <c r="D413" s="22" t="n"/>
      <c r="I413" s="23" t="n"/>
    </row>
    <row r="414">
      <c r="A414" s="22" t="n"/>
      <c r="D414" s="22" t="n"/>
      <c r="I414" s="23" t="n"/>
    </row>
    <row r="415">
      <c r="A415" s="22" t="n"/>
      <c r="D415" s="22" t="n"/>
      <c r="I415" s="23" t="n"/>
    </row>
    <row r="416">
      <c r="A416" s="22" t="n"/>
      <c r="D416" s="22" t="n"/>
      <c r="I416" s="23" t="n"/>
    </row>
    <row r="417">
      <c r="A417" s="22" t="n"/>
      <c r="D417" s="22" t="n"/>
      <c r="I417" s="23" t="n"/>
    </row>
    <row r="418">
      <c r="A418" s="22" t="n"/>
      <c r="D418" s="22" t="n"/>
      <c r="I418" s="23" t="n"/>
    </row>
    <row r="419">
      <c r="A419" s="22" t="n"/>
      <c r="D419" s="22" t="n"/>
      <c r="I419" s="23" t="n"/>
    </row>
    <row r="420">
      <c r="A420" s="22" t="n"/>
      <c r="D420" s="22" t="n"/>
      <c r="I420" s="23" t="n"/>
    </row>
    <row r="421">
      <c r="A421" s="22" t="n"/>
      <c r="D421" s="22" t="n"/>
      <c r="I421" s="23" t="n"/>
    </row>
    <row r="422">
      <c r="A422" s="22" t="n"/>
      <c r="D422" s="22" t="n"/>
      <c r="I422" s="23" t="n"/>
    </row>
    <row r="423">
      <c r="A423" s="22" t="n"/>
      <c r="D423" s="22" t="n"/>
      <c r="I423" s="23" t="n"/>
    </row>
    <row r="424">
      <c r="A424" s="22" t="n"/>
      <c r="D424" s="22" t="n"/>
      <c r="I424" s="23" t="n"/>
    </row>
    <row r="425">
      <c r="A425" s="22" t="n"/>
      <c r="D425" s="22" t="n"/>
      <c r="I425" s="23" t="n"/>
    </row>
    <row r="426">
      <c r="A426" s="22" t="n"/>
      <c r="D426" s="22" t="n"/>
      <c r="I426" s="23" t="n"/>
    </row>
    <row r="427">
      <c r="A427" s="22" t="n"/>
      <c r="D427" s="22" t="n"/>
      <c r="I427" s="23" t="n"/>
    </row>
    <row r="428">
      <c r="A428" s="22" t="n"/>
      <c r="D428" s="22" t="n"/>
      <c r="I428" s="23" t="n"/>
    </row>
    <row r="429">
      <c r="A429" s="22" t="n"/>
      <c r="D429" s="22" t="n"/>
      <c r="I429" s="23" t="n"/>
    </row>
    <row r="430">
      <c r="A430" s="22" t="n"/>
      <c r="D430" s="22" t="n"/>
      <c r="I430" s="23" t="n"/>
    </row>
    <row r="431">
      <c r="A431" s="22" t="n"/>
      <c r="D431" s="22" t="n"/>
      <c r="I431" s="23" t="n"/>
    </row>
    <row r="432">
      <c r="A432" s="22" t="n"/>
      <c r="D432" s="22" t="n"/>
      <c r="I432" s="23" t="n"/>
    </row>
    <row r="433">
      <c r="A433" s="22" t="n"/>
      <c r="D433" s="22" t="n"/>
      <c r="I433" s="23" t="n"/>
    </row>
    <row r="434">
      <c r="A434" s="22" t="n"/>
      <c r="D434" s="22" t="n"/>
      <c r="I434" s="23" t="n"/>
    </row>
    <row r="435">
      <c r="A435" s="22" t="n"/>
      <c r="D435" s="22" t="n"/>
      <c r="I435" s="23" t="n"/>
    </row>
    <row r="436">
      <c r="A436" s="22" t="n"/>
      <c r="D436" s="22" t="n"/>
      <c r="I436" s="23" t="n"/>
    </row>
    <row r="437">
      <c r="A437" s="22" t="n"/>
      <c r="D437" s="22" t="n"/>
      <c r="I437" s="23" t="n"/>
    </row>
    <row r="438">
      <c r="A438" s="22" t="n"/>
      <c r="D438" s="22" t="n"/>
      <c r="I438" s="23" t="n"/>
    </row>
    <row r="439">
      <c r="A439" s="22" t="n"/>
      <c r="D439" s="22" t="n"/>
      <c r="I439" s="23" t="n"/>
    </row>
    <row r="440">
      <c r="A440" s="22" t="n"/>
      <c r="D440" s="22" t="n"/>
      <c r="I440" s="23" t="n"/>
    </row>
    <row r="441">
      <c r="A441" s="22" t="n"/>
      <c r="D441" s="22" t="n"/>
      <c r="I441" s="23" t="n"/>
    </row>
    <row r="442">
      <c r="A442" s="22" t="n"/>
      <c r="D442" s="22" t="n"/>
      <c r="I442" s="23" t="n"/>
    </row>
    <row r="443">
      <c r="A443" s="22" t="n"/>
      <c r="D443" s="22" t="n"/>
      <c r="I443" s="23" t="n"/>
    </row>
    <row r="444">
      <c r="A444" s="22" t="n"/>
      <c r="D444" s="22" t="n"/>
      <c r="I444" s="23" t="n"/>
    </row>
    <row r="445">
      <c r="A445" s="22" t="n"/>
      <c r="D445" s="22" t="n"/>
      <c r="I445" s="23" t="n"/>
    </row>
    <row r="446">
      <c r="A446" s="22" t="n"/>
      <c r="D446" s="22" t="n"/>
      <c r="I446" s="23" t="n"/>
    </row>
    <row r="447">
      <c r="A447" s="22" t="n"/>
      <c r="D447" s="22" t="n"/>
      <c r="I447" s="23" t="n"/>
    </row>
    <row r="448">
      <c r="A448" s="22" t="n"/>
      <c r="D448" s="22" t="n"/>
      <c r="I448" s="23" t="n"/>
    </row>
    <row r="449">
      <c r="A449" s="22" t="n"/>
      <c r="D449" s="22" t="n"/>
      <c r="I449" s="23" t="n"/>
    </row>
    <row r="450">
      <c r="A450" s="22" t="n"/>
      <c r="D450" s="22" t="n"/>
      <c r="I450" s="23" t="n"/>
    </row>
    <row r="451">
      <c r="A451" s="22" t="n"/>
      <c r="D451" s="22" t="n"/>
      <c r="I451" s="23" t="n"/>
    </row>
    <row r="452">
      <c r="A452" s="22" t="n"/>
      <c r="D452" s="22" t="n"/>
      <c r="I452" s="23" t="n"/>
    </row>
    <row r="453">
      <c r="A453" s="22" t="n"/>
      <c r="D453" s="22" t="n"/>
      <c r="I453" s="23" t="n"/>
    </row>
    <row r="454">
      <c r="A454" s="22" t="n"/>
      <c r="D454" s="22" t="n"/>
      <c r="I454" s="23" t="n"/>
    </row>
    <row r="455">
      <c r="A455" s="22" t="n"/>
      <c r="D455" s="22" t="n"/>
      <c r="I455" s="23" t="n"/>
    </row>
    <row r="456">
      <c r="A456" s="22" t="n"/>
      <c r="D456" s="22" t="n"/>
      <c r="I456" s="23" t="n"/>
    </row>
    <row r="457">
      <c r="A457" s="22" t="n"/>
      <c r="D457" s="22" t="n"/>
      <c r="I457" s="23" t="n"/>
    </row>
    <row r="458">
      <c r="A458" s="22" t="n"/>
      <c r="D458" s="22" t="n"/>
      <c r="I458" s="23" t="n"/>
    </row>
    <row r="459">
      <c r="A459" s="22" t="n"/>
      <c r="D459" s="22" t="n"/>
      <c r="I459" s="23" t="n"/>
    </row>
    <row r="460">
      <c r="A460" s="22" t="n"/>
      <c r="D460" s="22" t="n"/>
      <c r="I460" s="23" t="n"/>
    </row>
    <row r="461">
      <c r="A461" s="22" t="n"/>
      <c r="D461" s="22" t="n"/>
      <c r="I461" s="23" t="n"/>
    </row>
    <row r="462">
      <c r="A462" s="22" t="n"/>
      <c r="D462" s="22" t="n"/>
      <c r="I462" s="23" t="n"/>
    </row>
    <row r="463">
      <c r="A463" s="22" t="n"/>
      <c r="D463" s="22" t="n"/>
      <c r="I463" s="23" t="n"/>
    </row>
    <row r="464">
      <c r="A464" s="22" t="n"/>
      <c r="D464" s="22" t="n"/>
      <c r="I464" s="23" t="n"/>
    </row>
    <row r="465">
      <c r="A465" s="22" t="n"/>
      <c r="D465" s="22" t="n"/>
      <c r="I465" s="23" t="n"/>
    </row>
    <row r="466">
      <c r="A466" s="22" t="n"/>
      <c r="D466" s="22" t="n"/>
      <c r="I466" s="23" t="n"/>
    </row>
    <row r="467">
      <c r="A467" s="22" t="n"/>
      <c r="D467" s="22" t="n"/>
      <c r="I467" s="23" t="n"/>
    </row>
    <row r="468">
      <c r="A468" s="22" t="n"/>
      <c r="D468" s="22" t="n"/>
      <c r="I468" s="23" t="n"/>
    </row>
    <row r="469">
      <c r="A469" s="22" t="n"/>
      <c r="D469" s="22" t="n"/>
      <c r="I469" s="23" t="n"/>
    </row>
    <row r="470">
      <c r="A470" s="22" t="n"/>
      <c r="D470" s="22" t="n"/>
      <c r="I470" s="23" t="n"/>
    </row>
    <row r="471">
      <c r="A471" s="22" t="n"/>
      <c r="D471" s="22" t="n"/>
      <c r="I471" s="23" t="n"/>
    </row>
    <row r="472">
      <c r="A472" s="22" t="n"/>
      <c r="D472" s="22" t="n"/>
      <c r="I472" s="23" t="n"/>
    </row>
    <row r="473">
      <c r="A473" s="22" t="n"/>
      <c r="D473" s="22" t="n"/>
      <c r="I473" s="23" t="n"/>
    </row>
    <row r="474">
      <c r="A474" s="22" t="n"/>
      <c r="D474" s="22" t="n"/>
      <c r="I474" s="23" t="n"/>
    </row>
    <row r="475">
      <c r="A475" s="22" t="n"/>
      <c r="D475" s="22" t="n"/>
      <c r="I475" s="23" t="n"/>
    </row>
    <row r="476">
      <c r="A476" s="22" t="n"/>
      <c r="D476" s="22" t="n"/>
      <c r="I476" s="23" t="n"/>
    </row>
    <row r="477">
      <c r="A477" s="22" t="n"/>
      <c r="D477" s="22" t="n"/>
      <c r="I477" s="23" t="n"/>
    </row>
    <row r="478">
      <c r="A478" s="22" t="n"/>
      <c r="D478" s="22" t="n"/>
      <c r="I478" s="23" t="n"/>
    </row>
    <row r="479">
      <c r="A479" s="22" t="n"/>
      <c r="D479" s="22" t="n"/>
      <c r="I479" s="23" t="n"/>
    </row>
    <row r="480">
      <c r="A480" s="22" t="n"/>
      <c r="D480" s="22" t="n"/>
      <c r="I480" s="23" t="n"/>
    </row>
    <row r="481">
      <c r="A481" s="22" t="n"/>
      <c r="D481" s="22" t="n"/>
      <c r="I481" s="23" t="n"/>
    </row>
    <row r="482">
      <c r="A482" s="22" t="n"/>
      <c r="D482" s="22" t="n"/>
      <c r="I482" s="23" t="n"/>
    </row>
    <row r="483">
      <c r="A483" s="22" t="n"/>
      <c r="D483" s="22" t="n"/>
      <c r="I483" s="23" t="n"/>
    </row>
    <row r="484">
      <c r="A484" s="22" t="n"/>
      <c r="D484" s="22" t="n"/>
      <c r="I484" s="23" t="n"/>
    </row>
    <row r="485">
      <c r="A485" s="22" t="n"/>
      <c r="D485" s="22" t="n"/>
      <c r="I485" s="23" t="n"/>
    </row>
    <row r="486">
      <c r="A486" s="22" t="n"/>
      <c r="D486" s="22" t="n"/>
      <c r="I486" s="23" t="n"/>
    </row>
    <row r="487">
      <c r="A487" s="22" t="n"/>
      <c r="D487" s="22" t="n"/>
      <c r="I487" s="23" t="n"/>
    </row>
    <row r="488">
      <c r="A488" s="22" t="n"/>
      <c r="D488" s="22" t="n"/>
      <c r="I488" s="23" t="n"/>
    </row>
    <row r="489">
      <c r="A489" s="22" t="n"/>
      <c r="D489" s="22" t="n"/>
      <c r="I489" s="23" t="n"/>
    </row>
    <row r="490">
      <c r="A490" s="22" t="n"/>
      <c r="D490" s="22" t="n"/>
      <c r="I490" s="23" t="n"/>
    </row>
    <row r="491">
      <c r="A491" s="22" t="n"/>
      <c r="D491" s="22" t="n"/>
      <c r="I491" s="23" t="n"/>
    </row>
    <row r="492">
      <c r="A492" s="22" t="n"/>
      <c r="D492" s="22" t="n"/>
      <c r="I492" s="23" t="n"/>
    </row>
    <row r="493">
      <c r="A493" s="22" t="n"/>
      <c r="D493" s="22" t="n"/>
      <c r="I493" s="23" t="n"/>
    </row>
    <row r="494">
      <c r="A494" s="22" t="n"/>
      <c r="D494" s="22" t="n"/>
      <c r="I494" s="23" t="n"/>
    </row>
    <row r="495">
      <c r="A495" s="22" t="n"/>
      <c r="D495" s="22" t="n"/>
      <c r="I495" s="23" t="n"/>
    </row>
    <row r="496">
      <c r="A496" s="22" t="n"/>
      <c r="D496" s="22" t="n"/>
      <c r="I496" s="23" t="n"/>
    </row>
    <row r="497">
      <c r="A497" s="22" t="n"/>
      <c r="D497" s="22" t="n"/>
      <c r="I497" s="23" t="n"/>
    </row>
    <row r="498">
      <c r="A498" s="22" t="n"/>
      <c r="D498" s="22" t="n"/>
      <c r="I498" s="23" t="n"/>
    </row>
    <row r="499">
      <c r="A499" s="22" t="n"/>
      <c r="D499" s="22" t="n"/>
      <c r="I499" s="23" t="n"/>
    </row>
    <row r="500">
      <c r="A500" s="22" t="n"/>
      <c r="D500" s="22" t="n"/>
      <c r="I500" s="23" t="n"/>
    </row>
  </sheetData>
  <dataValidations count="1">
    <dataValidation sqref="E2:E500" showDropDown="0" showInputMessage="0" showErrorMessage="0" allowBlank="1" type="list">
      <formula1>"جديدة,جارية,منتهية,ملغاة"</formula1>
    </dataValidation>
  </dataValidations>
  <pageMargins left="0.75" right="0.75" top="1" bottom="1" header="0.5" footer="0.5"/>
</worksheet>
</file>

<file path=xl/worksheets/sheet9.xml><?xml version="1.0" encoding="utf-8"?>
<worksheet xmlns="http://schemas.openxmlformats.org/spreadsheetml/2006/main">
  <sheetPr filterMode="0">
    <outlinePr summaryBelow="1" summaryRight="1"/>
    <pageSetUpPr fitToPage="0"/>
  </sheetPr>
  <dimension ref="A1:E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11" min="1" max="1"/>
    <col width="10" customWidth="1" style="11" min="2" max="2"/>
    <col width="40" customWidth="1" style="11" min="3" max="3"/>
    <col width="16" customWidth="1" style="11" min="4" max="4"/>
    <col width="12" customWidth="1" style="11" min="5" max="5"/>
  </cols>
  <sheetData>
    <row r="1" ht="15" customHeight="1" s="12">
      <c r="A1" s="13" t="inlineStr">
        <is>
          <t>الوقت</t>
        </is>
      </c>
      <c r="B1" s="13" t="inlineStr">
        <is>
          <t>الشقة</t>
        </is>
      </c>
      <c r="C1" s="13" t="inlineStr">
        <is>
          <t>النتيجة (نجح / رقم سري خاطئ / شقة غير موجودة / مقفول)</t>
        </is>
      </c>
      <c r="D1" s="13" t="inlineStr">
        <is>
          <t>معرّف الجهاز</t>
        </is>
      </c>
      <c r="E1" s="13" t="inlineStr">
        <is>
          <t>العملية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A14"/>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0" customWidth="1" style="11" min="1" max="1"/>
  </cols>
  <sheetData>
    <row r="1" ht="15" customHeight="1" s="12">
      <c r="A1" s="18" t="inlineStr">
        <is>
          <t>دليل سريع</t>
        </is>
      </c>
    </row>
    <row r="2" ht="14.15" customHeight="1" s="12">
      <c r="A2" s="17" t="inlineStr">
        <is>
          <t>الخانات الزرقاء = إدخال يدوي. الأسود = معادلات لا تُعدّل.</t>
        </is>
      </c>
    </row>
    <row r="3" ht="14.15" customHeight="1" s="12">
      <c r="A3" s="17" t="inlineStr">
        <is>
          <t>الصفوف المكتوب فيها "مثال" استبدلها ببياناتك.</t>
        </is>
      </c>
    </row>
    <row r="4" ht="14.15" customHeight="1" s="12">
      <c r="A4" s="17" t="inlineStr">
        <is>
          <t>Apartments: بيانات الشقق + الرقم السري (4 أرقام عشوائية لكل شقة).</t>
        </is>
      </c>
    </row>
    <row r="5" ht="14.15" customHeight="1" s="12">
      <c r="A5" s="17" t="inlineStr">
        <is>
          <t>Items: كل مصروف أو اشتراك شهري (سطر لكل بند) + المبلغ لكل شقة + النوع + تاريخ الاستحقاق.</t>
        </is>
      </c>
    </row>
    <row r="6" ht="14.15" customHeight="1" s="12">
      <c r="A6" s="17" t="inlineStr">
        <is>
          <t>Payments: كل دفعة سطر (التاريخ، الشقة، كود البند، المبلغ). الكود لازم يطابق Items تماماً.</t>
        </is>
      </c>
    </row>
    <row r="7" ht="14.15" customHeight="1" s="12">
      <c r="A7" s="17" t="inlineStr">
        <is>
          <t>Expenses: مصروفات الصيانة من الصندوق.</t>
        </is>
      </c>
    </row>
    <row r="8" ht="14.15" customHeight="1" s="12">
      <c r="A8" s="17" t="inlineStr">
        <is>
          <t>Summary: تلقائي. الأحمر = متأخر، الأخضر = مدفوع. في J2 ضع رابط صفحة السكان.</t>
        </is>
      </c>
    </row>
    <row r="9" ht="14.15" customHeight="1" s="12">
      <c r="A9" s="17" t="inlineStr">
        <is>
          <t>Claims: لما ساكن يرفع إيصال يظهر هنا بحالة قيد المراجعة. راجع الصورة (عمود F) وعدّل المبلغ (D) لو لزم، ثم غيّر الحالة (E) إلى تم التأكيد فتُسجَّل الدفعة تلقائياً في Payments (أو مرفوض).</t>
        </is>
      </c>
    </row>
    <row r="10" ht="14.15" customHeight="1" s="12">
      <c r="A10" s="17" t="inlineStr">
        <is>
          <t>AccessLog: تلقائي. سجل كل محاولة دخول. لو نفس الجهاز جرّب أكثر من شقة يوصلك إيميل.</t>
        </is>
      </c>
    </row>
    <row r="11" ht="14.15" customHeight="1" s="12">
      <c r="A11" s="17" t="inlineStr">
        <is>
          <t>Expenses: العمود D تفاصيل تظهر للسكان لو إظهار تفاصيل المصروفات = نعم، والعمود E رابط الفاتورة في Drive (خاص بك).</t>
        </is>
      </c>
    </row>
    <row r="12" ht="14.15" customHeight="1" s="12">
      <c r="A12" s="17" t="inlineStr">
        <is>
          <t>Settings: بيانات أمين الصندوق وطريقة الدفع والإعلان، وإظهار رصيد الصندوق / إظهار تفاصيل المصروفات (قايمة نعم / لا). كل الأسماء بالعربي.</t>
        </is>
      </c>
    </row>
    <row r="13" ht="14.15" customHeight="1" s="12">
      <c r="A13" s="17" t="inlineStr">
        <is>
          <t>التقرير التلقائي: شغّل installTrigger مرة واحدة من Apps Script، فيوصلك إيميل يوم 5 كل شهر بالمتأخرين.</t>
        </is>
      </c>
    </row>
    <row r="14" ht="14.15" customHeight="1" s="12">
      <c r="A14" s="17" t="inlineStr">
        <is>
          <t>الافتراض: كل الشقق عليها نفس المبلغ لكل بند.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2026-10-26T12:06:36Z</dcterms:created>
  <dcterms:modified xmlns:dcterms="http://purl.org/dc/terms/" xmlns:xsi="http://www.w3.org/2001/XMLSchema-instance" xsi:type="dcterms:W3CDTF">2026-10-28T01:38:27Z</dcterms:modified>
  <cp:revision>0</cp:revision>
</cp:coreProperties>
</file>